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kshatha/Desktop/"/>
    </mc:Choice>
  </mc:AlternateContent>
  <xr:revisionPtr revIDLastSave="0" documentId="8_{15BE74B1-298A-4D44-9198-5B3A38B6B1B5}" xr6:coauthVersionLast="47" xr6:coauthVersionMax="47" xr10:uidLastSave="{00000000-0000-0000-0000-000000000000}"/>
  <bookViews>
    <workbookView xWindow="0" yWindow="500" windowWidth="28800" windowHeight="15620" activeTab="3" xr2:uid="{2BFDBE74-B7D1-1340-A9C8-D3C6EFBC90CA}"/>
  </bookViews>
  <sheets>
    <sheet name="Sheet1" sheetId="1" r:id="rId1"/>
    <sheet name="Cleaned_Data" sheetId="2" r:id="rId2"/>
    <sheet name="Analysis" sheetId="3" r:id="rId3"/>
    <sheet name="Dashboard" sheetId="4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F5" i="4"/>
  <c r="D5" i="4"/>
  <c r="B5" i="4"/>
  <c r="A2" i="3"/>
  <c r="D2" i="3" s="1"/>
  <c r="C2" i="3"/>
  <c r="B2" i="3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P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</calcChain>
</file>

<file path=xl/sharedStrings.xml><?xml version="1.0" encoding="utf-8"?>
<sst xmlns="http://schemas.openxmlformats.org/spreadsheetml/2006/main" count="1270" uniqueCount="211">
  <si>
    <t>Order_ID</t>
  </si>
  <si>
    <t>Order_Date</t>
  </si>
  <si>
    <t>Customer_ID</t>
  </si>
  <si>
    <t>Product</t>
  </si>
  <si>
    <t>Category</t>
  </si>
  <si>
    <t>Quantity</t>
  </si>
  <si>
    <t>Unit_Price</t>
  </si>
  <si>
    <t>Discount_%</t>
  </si>
  <si>
    <t>Sales</t>
  </si>
  <si>
    <t>Profit</t>
  </si>
  <si>
    <t>Country</t>
  </si>
  <si>
    <t>Payment_Method</t>
  </si>
  <si>
    <t>ORD001</t>
  </si>
  <si>
    <t>CUST18</t>
  </si>
  <si>
    <t>Mouse</t>
  </si>
  <si>
    <t>Accessories</t>
  </si>
  <si>
    <t>India</t>
  </si>
  <si>
    <t>UPI</t>
  </si>
  <si>
    <t>ORD002</t>
  </si>
  <si>
    <t>Phone</t>
  </si>
  <si>
    <t>Electronics</t>
  </si>
  <si>
    <t>UK</t>
  </si>
  <si>
    <t>ORD003</t>
  </si>
  <si>
    <t>CUST13</t>
  </si>
  <si>
    <t>ORD004</t>
  </si>
  <si>
    <t>CUST10</t>
  </si>
  <si>
    <t>Credit Card</t>
  </si>
  <si>
    <t>ORD005</t>
  </si>
  <si>
    <t>CUST4</t>
  </si>
  <si>
    <t>ORD006</t>
  </si>
  <si>
    <t>CUST20</t>
  </si>
  <si>
    <t>Headphones</t>
  </si>
  <si>
    <t>USA</t>
  </si>
  <si>
    <t>ORD007</t>
  </si>
  <si>
    <t>CUST2</t>
  </si>
  <si>
    <t>Keyboard</t>
  </si>
  <si>
    <t>Net Banking</t>
  </si>
  <si>
    <t>ORD008</t>
  </si>
  <si>
    <t>CUST16</t>
  </si>
  <si>
    <t>Canada</t>
  </si>
  <si>
    <t>ORD009</t>
  </si>
  <si>
    <t>CUST19</t>
  </si>
  <si>
    <t>ORD010</t>
  </si>
  <si>
    <t>CUST3</t>
  </si>
  <si>
    <t>Laptop</t>
  </si>
  <si>
    <t>Debit Card</t>
  </si>
  <si>
    <t>ORD011</t>
  </si>
  <si>
    <t>CUST11</t>
  </si>
  <si>
    <t>Monitor</t>
  </si>
  <si>
    <t>ORD012</t>
  </si>
  <si>
    <t>ORD013</t>
  </si>
  <si>
    <t>CUST1</t>
  </si>
  <si>
    <t>ORD014</t>
  </si>
  <si>
    <t>ORD015</t>
  </si>
  <si>
    <t>ORD016</t>
  </si>
  <si>
    <t>wrong_date</t>
  </si>
  <si>
    <t>ORD017</t>
  </si>
  <si>
    <t>ORD018</t>
  </si>
  <si>
    <t>CUST14</t>
  </si>
  <si>
    <t>ORD019</t>
  </si>
  <si>
    <t>ORD020</t>
  </si>
  <si>
    <t>CUST8</t>
  </si>
  <si>
    <t>ORD021</t>
  </si>
  <si>
    <t>CUST15</t>
  </si>
  <si>
    <t>ORD022</t>
  </si>
  <si>
    <t>ORD023</t>
  </si>
  <si>
    <t>ORD024</t>
  </si>
  <si>
    <t>CUST7</t>
  </si>
  <si>
    <t>ORD025</t>
  </si>
  <si>
    <t>ORD026</t>
  </si>
  <si>
    <t>CUST6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</si>
  <si>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</si>
  <si>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</si>
  <si>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</si>
  <si>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</si>
  <si>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</si>
  <si>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</si>
  <si>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</si>
  <si>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</si>
  <si>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</si>
  <si>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</si>
  <si>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</si>
  <si>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</si>
  <si>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</si>
  <si>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CUST5</t>
  </si>
  <si>
    <t>Eletronics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</si>
  <si>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</si>
  <si>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</si>
  <si>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</si>
  <si>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</si>
  <si>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</si>
  <si>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</si>
  <si>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</si>
  <si>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</si>
  <si>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CUST9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</si>
  <si>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</si>
  <si>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</si>
  <si>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</si>
  <si>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</si>
  <si>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</si>
  <si>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</si>
  <si>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</si>
  <si>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</si>
  <si>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</si>
  <si>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</si>
  <si>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</si>
  <si>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</si>
  <si>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</si>
  <si>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</si>
  <si>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</si>
  <si>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</si>
  <si>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</si>
  <si>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</si>
  <si>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</si>
  <si>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</si>
  <si>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</si>
  <si>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</si>
  <si>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</si>
  <si>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</si>
  <si>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</si>
  <si>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</si>
  <si>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</si>
  <si>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</si>
  <si>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CUST17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</si>
  <si>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</si>
  <si>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</si>
  <si>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</si>
  <si>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</si>
  <si>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</si>
  <si>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</si>
  <si>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</si>
  <si>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</si>
  <si>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</si>
  <si>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</si>
  <si>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</si>
  <si>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</si>
  <si>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</si>
  <si>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</si>
  <si>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</si>
  <si>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</si>
  <si>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</si>
  <si>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</si>
  <si>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</si>
  <si>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</si>
  <si>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Year</t>
  </si>
  <si>
    <t>Month</t>
  </si>
  <si>
    <t>Profit_Margin</t>
  </si>
  <si>
    <t>0.28924628247573086</t>
  </si>
  <si>
    <t>0.20922818035668675</t>
  </si>
  <si>
    <t>0.1807282475729419</t>
  </si>
  <si>
    <t>0.2505470822281167</t>
  </si>
  <si>
    <t>0.15097832414477966</t>
  </si>
  <si>
    <t>0.17268416032650888</t>
  </si>
  <si>
    <t>0.10307262481550661</t>
  </si>
  <si>
    <t>0.2021060066063978</t>
  </si>
  <si>
    <t>0.2344102228047182</t>
  </si>
  <si>
    <t>0.13167197128732985</t>
  </si>
  <si>
    <t>0.13801388231582268</t>
  </si>
  <si>
    <t>0.12609074497747907</t>
  </si>
  <si>
    <t>0.25234567901234567</t>
  </si>
  <si>
    <t>0.2755720295622513</t>
  </si>
  <si>
    <t>0.10216357088196416</t>
  </si>
  <si>
    <t>0.27030549963250566</t>
  </si>
  <si>
    <t>0.21494988513819996</t>
  </si>
  <si>
    <t>0.16401350188629293</t>
  </si>
  <si>
    <t>0.14926226219406025</t>
  </si>
  <si>
    <t>0.14266470198444528</t>
  </si>
  <si>
    <t>0.1691180367838024</t>
  </si>
  <si>
    <t>0.2588832335571229</t>
  </si>
  <si>
    <t>0.20139006831219808</t>
  </si>
  <si>
    <t>0.2798446794448116</t>
  </si>
  <si>
    <t>0.14235716951954355</t>
  </si>
  <si>
    <t>0.036135318579641404</t>
  </si>
  <si>
    <t>0.2032658791783265</t>
  </si>
  <si>
    <t>0.29064285714285715</t>
  </si>
  <si>
    <t>0.018941219573360916</t>
  </si>
  <si>
    <t>0.18119521409857306</t>
  </si>
  <si>
    <t>0.2633645334022946</t>
  </si>
  <si>
    <t>0.17989349812635594</t>
  </si>
  <si>
    <t>0.1680533798803503</t>
  </si>
  <si>
    <t>0.15016349363685044</t>
  </si>
  <si>
    <t>0.024300126272802987</t>
  </si>
  <si>
    <t>0.038049601335673394</t>
  </si>
  <si>
    <t>0.14698375792635443</t>
  </si>
  <si>
    <t>0.16673634245650706</t>
  </si>
  <si>
    <t>0.19294388718535072</t>
  </si>
  <si>
    <t>0.16913132113105714</t>
  </si>
  <si>
    <t>0.2541655361763646</t>
  </si>
  <si>
    <t>0.27960429708632817</t>
  </si>
  <si>
    <t>Month Column</t>
  </si>
  <si>
    <t>Year Column</t>
  </si>
  <si>
    <t>Profit % Column</t>
  </si>
  <si>
    <t>Total Revenue</t>
  </si>
  <si>
    <t>Net Sales Column</t>
  </si>
  <si>
    <t>Total Orders</t>
  </si>
  <si>
    <t>Total Profit</t>
  </si>
  <si>
    <t>Average Order Value</t>
  </si>
  <si>
    <t>Jan</t>
  </si>
  <si>
    <t>Feb</t>
  </si>
  <si>
    <t>Mar</t>
  </si>
  <si>
    <t>Apr</t>
  </si>
  <si>
    <t>May</t>
  </si>
  <si>
    <t>Jun</t>
  </si>
  <si>
    <t>Aug</t>
  </si>
  <si>
    <t>Oct</t>
  </si>
  <si>
    <t>Nov</t>
  </si>
  <si>
    <t>Dec</t>
  </si>
  <si>
    <t>Grand Total</t>
  </si>
  <si>
    <t>Sum of Net Sales Column</t>
  </si>
  <si>
    <t>Count of Profit % Column</t>
  </si>
  <si>
    <t>E-Commerce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</si>
</sst>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sz val="22"/>
      <color theme="1"/>
      <name val="Aptos Narrow"/>
      <scheme val="minor"/>
    </font>
    <font>
      <sz val="20"/>
      <color theme="1"/>
      <name val="Aptos Narrow"/>
      <scheme val="minor"/>
    </font>
    <font>
      <b/>
      <sz val="20"/>
      <color theme="1"/>
      <name val="Aptos Narrow"/>
      <scheme val="minor"/>
    </font>
    <font>
      <sz val="24"/>
      <color theme="1"/>
      <name val="Aptos Narrow"/>
      <scheme val="minor"/>
    </font>
    <font>
      <b/>
      <sz val="2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2" borderId="2" xfId="0" applyFont="1" applyFill="1" applyBorder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Project.xlsx]Analysis!PivotTable1</c:name>
    <c:fmtId val="0"/>
  </c:pivotSource>
  <c:chart>
    <c:title>
      <c:layout>
        <c:manualLayout>
          <c:xMode val="edge"/>
          <c:yMode val="edge"/>
          <c:x val="0.44649300087489063"/>
          <c:y val="2.6966292134831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261592300962376E-2"/>
          <c:y val="0.18916853932584268"/>
          <c:w val="0.71794619422572181"/>
          <c:h val="0.72940104397062722"/>
        </c:manualLayout>
      </c:layout>
      <c:lineChart>
        <c:grouping val="percentStack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Analysis!$E$2:$E$12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</c:strCache>
            </c:strRef>
          </c:cat>
          <c:val>
            <c:numRef>
              <c:f>Analysis!$F$2:$F$12</c:f>
              <c:numCache>
                <c:formatCode>General</c:formatCode>
                <c:ptCount val="10"/>
                <c:pt idx="0">
                  <c:v>1032762.3500000001</c:v>
                </c:pt>
                <c:pt idx="1">
                  <c:v>331925.39999999997</c:v>
                </c:pt>
                <c:pt idx="2">
                  <c:v>389816.30000000005</c:v>
                </c:pt>
                <c:pt idx="3">
                  <c:v>391150.30000000005</c:v>
                </c:pt>
                <c:pt idx="4">
                  <c:v>447512.9</c:v>
                </c:pt>
                <c:pt idx="5">
                  <c:v>1234960.95</c:v>
                </c:pt>
                <c:pt idx="6">
                  <c:v>0</c:v>
                </c:pt>
                <c:pt idx="7">
                  <c:v>205348.5</c:v>
                </c:pt>
                <c:pt idx="8">
                  <c:v>80434.8</c:v>
                </c:pt>
                <c:pt idx="9">
                  <c:v>15109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0-5140-97E9-08DDB1BC6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459424"/>
        <c:axId val="1265467664"/>
      </c:lineChart>
      <c:catAx>
        <c:axId val="12654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67664"/>
        <c:crosses val="autoZero"/>
        <c:auto val="1"/>
        <c:lblAlgn val="ctr"/>
        <c:lblOffset val="100"/>
        <c:noMultiLvlLbl val="0"/>
      </c:catAx>
      <c:valAx>
        <c:axId val="12654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Analysis!$H$2:$H$12</c:f>
              <c:strCache>
                <c:ptCount val="10"/>
                <c:pt idx="0">
                  <c:v>CUST13</c:v>
                </c:pt>
                <c:pt idx="1">
                  <c:v>CUST10</c:v>
                </c:pt>
                <c:pt idx="2">
                  <c:v>CUST16</c:v>
                </c:pt>
                <c:pt idx="3">
                  <c:v>CUST14</c:v>
                </c:pt>
                <c:pt idx="4">
                  <c:v>CUST18</c:v>
                </c:pt>
                <c:pt idx="5">
                  <c:v>CUST6</c:v>
                </c:pt>
                <c:pt idx="6">
                  <c:v>CUST8</c:v>
                </c:pt>
                <c:pt idx="7">
                  <c:v>CUST4</c:v>
                </c:pt>
                <c:pt idx="8">
                  <c:v>CUST1</c:v>
                </c:pt>
                <c:pt idx="9">
                  <c:v>CUST2</c:v>
                </c:pt>
              </c:strCache>
            </c:strRef>
          </c:cat>
          <c:val>
            <c:numRef>
              <c:f>Analysis!$I$2:$I$12</c:f>
              <c:numCache>
                <c:formatCode>General</c:formatCode>
                <c:ptCount val="10"/>
                <c:pt idx="0">
                  <c:v>858423</c:v>
                </c:pt>
                <c:pt idx="1">
                  <c:v>589678.4</c:v>
                </c:pt>
                <c:pt idx="2">
                  <c:v>538009.89999999991</c:v>
                </c:pt>
                <c:pt idx="3">
                  <c:v>419234.85</c:v>
                </c:pt>
                <c:pt idx="4">
                  <c:v>366994.10000000003</c:v>
                </c:pt>
                <c:pt idx="5">
                  <c:v>348493.05</c:v>
                </c:pt>
                <c:pt idx="6">
                  <c:v>241900.9</c:v>
                </c:pt>
                <c:pt idx="7">
                  <c:v>209632.69999999998</c:v>
                </c:pt>
                <c:pt idx="8">
                  <c:v>129399.3</c:v>
                </c:pt>
                <c:pt idx="9">
                  <c:v>116673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1-014A-8C91-91D0983E2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4411616"/>
        <c:axId val="1265774064"/>
      </c:barChart>
      <c:catAx>
        <c:axId val="12644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74064"/>
        <c:crosses val="autoZero"/>
        <c:auto val="1"/>
        <c:lblAlgn val="ctr"/>
        <c:lblOffset val="100"/>
        <c:noMultiLvlLbl val="0"/>
      </c:catAx>
      <c:valAx>
        <c:axId val="12657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Analysis!$L$2:$L$6</c:f>
              <c:strCache>
                <c:ptCount val="4"/>
                <c:pt idx="0">
                  <c:v>Canada</c:v>
                </c:pt>
                <c:pt idx="1">
                  <c:v>India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Analysis!$M$2:$M$6</c:f>
              <c:numCache>
                <c:formatCode>General</c:formatCode>
                <c:ptCount val="4"/>
                <c:pt idx="0">
                  <c:v>956588.65</c:v>
                </c:pt>
                <c:pt idx="1">
                  <c:v>1021791.2</c:v>
                </c:pt>
                <c:pt idx="2">
                  <c:v>1338248.7500000002</c:v>
                </c:pt>
                <c:pt idx="3">
                  <c:v>812391.90000000014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0-484F-AD69-C0C8B5B85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5353296"/>
        <c:axId val="868366144"/>
        <c:axId val="0"/>
      </c:bar3DChart>
      <c:catAx>
        <c:axId val="12653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66144"/>
        <c:crosses val="autoZero"/>
        <c:auto val="1"/>
        <c:lblAlgn val="ctr"/>
        <c:lblOffset val="100"/>
        <c:noMultiLvlLbl val="0"/>
      </c:catAx>
      <c:valAx>
        <c:axId val="8683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5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Analysis!$Q$1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5C-3540-80D1-3F29FEAA77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5C-3540-80D1-3F29FEAA777E}"/>
              </c:ext>
            </c:extLst>
          </c:dPt>
          <c:cat>
            <c:strRef>
              <c:f>Analysis!$P$2:$P$4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Analysis!$Q$2:$Q$4</c:f>
              <c:numCache>
                <c:formatCode>General</c:formatCode>
                <c:ptCount val="2"/>
                <c:pt idx="0">
                  <c:v>50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D-0841-9722-E1A06CCB4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Project.xlsx]Analysis!PivotTable1</c:name>
    <c:fmtId val="2"/>
  </c:pivotSource>
  <c:chart>
    <c:title>
      <c:layout>
        <c:manualLayout>
          <c:xMode val="edge"/>
          <c:yMode val="edge"/>
          <c:x val="0.44649300087489063"/>
          <c:y val="2.6966292134831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261592300962376E-2"/>
          <c:y val="0.18916853932584268"/>
          <c:w val="0.71794619422572181"/>
          <c:h val="0.72940104397062722"/>
        </c:manualLayout>
      </c:layout>
      <c:lineChart>
        <c:grouping val="percentStack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Analysis!$E$2:$E$12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</c:strCache>
            </c:strRef>
          </c:cat>
          <c:val>
            <c:numRef>
              <c:f>Analysis!$F$2:$F$12</c:f>
              <c:numCache>
                <c:formatCode>General</c:formatCode>
                <c:ptCount val="10"/>
                <c:pt idx="0">
                  <c:v>1032762.3500000001</c:v>
                </c:pt>
                <c:pt idx="1">
                  <c:v>331925.39999999997</c:v>
                </c:pt>
                <c:pt idx="2">
                  <c:v>389816.30000000005</c:v>
                </c:pt>
                <c:pt idx="3">
                  <c:v>391150.30000000005</c:v>
                </c:pt>
                <c:pt idx="4">
                  <c:v>447512.9</c:v>
                </c:pt>
                <c:pt idx="5">
                  <c:v>1234960.95</c:v>
                </c:pt>
                <c:pt idx="6">
                  <c:v>0</c:v>
                </c:pt>
                <c:pt idx="7">
                  <c:v>205348.5</c:v>
                </c:pt>
                <c:pt idx="8">
                  <c:v>80434.8</c:v>
                </c:pt>
                <c:pt idx="9">
                  <c:v>15109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A-3448-BC18-F45A967D4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459424"/>
        <c:axId val="1265467664"/>
      </c:lineChart>
      <c:catAx>
        <c:axId val="12654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67664"/>
        <c:crosses val="autoZero"/>
        <c:auto val="1"/>
        <c:lblAlgn val="ctr"/>
        <c:lblOffset val="100"/>
        <c:noMultiLvlLbl val="0"/>
      </c:catAx>
      <c:valAx>
        <c:axId val="12654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4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Analysis!$H$2:$H$12</c:f>
              <c:strCache>
                <c:ptCount val="10"/>
                <c:pt idx="0">
                  <c:v>CUST13</c:v>
                </c:pt>
                <c:pt idx="1">
                  <c:v>CUST10</c:v>
                </c:pt>
                <c:pt idx="2">
                  <c:v>CUST16</c:v>
                </c:pt>
                <c:pt idx="3">
                  <c:v>CUST14</c:v>
                </c:pt>
                <c:pt idx="4">
                  <c:v>CUST18</c:v>
                </c:pt>
                <c:pt idx="5">
                  <c:v>CUST6</c:v>
                </c:pt>
                <c:pt idx="6">
                  <c:v>CUST8</c:v>
                </c:pt>
                <c:pt idx="7">
                  <c:v>CUST4</c:v>
                </c:pt>
                <c:pt idx="8">
                  <c:v>CUST1</c:v>
                </c:pt>
                <c:pt idx="9">
                  <c:v>CUST2</c:v>
                </c:pt>
              </c:strCache>
            </c:strRef>
          </c:cat>
          <c:val>
            <c:numRef>
              <c:f>Analysis!$I$2:$I$12</c:f>
              <c:numCache>
                <c:formatCode>General</c:formatCode>
                <c:ptCount val="10"/>
                <c:pt idx="0">
                  <c:v>858423</c:v>
                </c:pt>
                <c:pt idx="1">
                  <c:v>589678.4</c:v>
                </c:pt>
                <c:pt idx="2">
                  <c:v>538009.89999999991</c:v>
                </c:pt>
                <c:pt idx="3">
                  <c:v>419234.85</c:v>
                </c:pt>
                <c:pt idx="4">
                  <c:v>366994.10000000003</c:v>
                </c:pt>
                <c:pt idx="5">
                  <c:v>348493.05</c:v>
                </c:pt>
                <c:pt idx="6">
                  <c:v>241900.9</c:v>
                </c:pt>
                <c:pt idx="7">
                  <c:v>209632.69999999998</c:v>
                </c:pt>
                <c:pt idx="8">
                  <c:v>129399.3</c:v>
                </c:pt>
                <c:pt idx="9">
                  <c:v>116673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F-7949-AE8F-A0D269D51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4411616"/>
        <c:axId val="1265774064"/>
      </c:barChart>
      <c:catAx>
        <c:axId val="126441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74064"/>
        <c:crosses val="autoZero"/>
        <c:auto val="1"/>
        <c:lblAlgn val="ctr"/>
        <c:lblOffset val="100"/>
        <c:noMultiLvlLbl val="0"/>
      </c:catAx>
      <c:valAx>
        <c:axId val="12657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1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847869770306772"/>
          <c:y val="0.20251799215301172"/>
          <c:w val="0.72031828259681197"/>
          <c:h val="0.7103051202431990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Analysis!$L$2:$L$6</c:f>
              <c:strCache>
                <c:ptCount val="4"/>
                <c:pt idx="0">
                  <c:v>Canada</c:v>
                </c:pt>
                <c:pt idx="1">
                  <c:v>India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Analysis!$M$2:$M$6</c:f>
              <c:numCache>
                <c:formatCode>General</c:formatCode>
                <c:ptCount val="4"/>
                <c:pt idx="0">
                  <c:v>956588.65</c:v>
                </c:pt>
                <c:pt idx="1">
                  <c:v>1021791.2</c:v>
                </c:pt>
                <c:pt idx="2">
                  <c:v>1338248.7500000002</c:v>
                </c:pt>
                <c:pt idx="3">
                  <c:v>812391.90000000014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4-B646-A32D-97096ED37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5353296"/>
        <c:axId val="868366144"/>
        <c:axId val="0"/>
      </c:bar3DChart>
      <c:catAx>
        <c:axId val="12653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366144"/>
        <c:crosses val="autoZero"/>
        <c:auto val="1"/>
        <c:lblAlgn val="ctr"/>
        <c:lblOffset val="100"/>
        <c:noMultiLvlLbl val="0"/>
      </c:catAx>
      <c:valAx>
        <c:axId val="8683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5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Project.xlsx]Analysis!PivotTable5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Analysis!$Q$1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3C-B64C-890B-D574E59E2A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3C-B64C-890B-D574E59E2A6E}"/>
              </c:ext>
            </c:extLst>
          </c:dPt>
          <c:cat>
            <c:strRef>
              <c:f>Analysis!$P$2:$P$4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Analysis!$Q$2:$Q$4</c:f>
              <c:numCache>
                <c:formatCode>General</c:formatCode>
                <c:ptCount val="2"/>
                <c:pt idx="0">
                  <c:v>50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3C-B64C-890B-D574E59E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13</xdr:row>
      <xdr:rowOff>184150</xdr:rowOff>
    </xdr:from>
    <xdr:to>
      <xdr:col>6</xdr:col>
      <xdr:colOff>355600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00499-13AC-AFAC-FD6B-1B5315B26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13</xdr:row>
      <xdr:rowOff>82550</xdr:rowOff>
    </xdr:from>
    <xdr:to>
      <xdr:col>10</xdr:col>
      <xdr:colOff>127000</xdr:colOff>
      <xdr:row>26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C3767-1E57-2E38-629A-19E735B5D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520700</xdr:colOff>
      <xdr:row>8</xdr:row>
      <xdr:rowOff>95250</xdr:rowOff>
    </xdr:from>
    <xdr:to>
      <xdr:col>14</xdr:col>
      <xdr:colOff>50800</xdr:colOff>
      <xdr:row>20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1335B0-4952-2A2E-3E2D-A61C52E0A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812800</xdr:colOff>
      <xdr:row>7</xdr:row>
      <xdr:rowOff>44450</xdr:rowOff>
    </xdr:from>
    <xdr:to>
      <xdr:col>18</xdr:col>
      <xdr:colOff>50800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F0CB0B-9635-156E-E51D-E84E48915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237066</xdr:colOff>
      <xdr:row>13</xdr:row>
      <xdr:rowOff>135467</xdr:rowOff>
    </xdr:from>
    <xdr:to>
      <xdr:col>6</xdr:col>
      <xdr:colOff>220133</xdr:colOff>
      <xdr:row>26</xdr:row>
      <xdr:rowOff>186267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4B5D77-6E99-9E44-8C56-8804A6368A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118534</xdr:colOff>
      <xdr:row>28</xdr:row>
      <xdr:rowOff>84666</xdr:rowOff>
    </xdr:from>
    <xdr:to>
      <xdr:col>6</xdr:col>
      <xdr:colOff>169334</xdr:colOff>
      <xdr:row>41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278E04-B590-0841-8ED4-414958215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795867</xdr:colOff>
      <xdr:row>13</xdr:row>
      <xdr:rowOff>135466</xdr:rowOff>
    </xdr:from>
    <xdr:to>
      <xdr:col>12</xdr:col>
      <xdr:colOff>304800</xdr:colOff>
      <xdr:row>26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BBD485-0C43-0042-A133-84DC78668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812800</xdr:colOff>
      <xdr:row>28</xdr:row>
      <xdr:rowOff>118534</xdr:rowOff>
    </xdr:from>
    <xdr:to>
      <xdr:col>11</xdr:col>
      <xdr:colOff>808566</xdr:colOff>
      <xdr:row>41</xdr:row>
      <xdr:rowOff>74084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AEA1D7-3F43-F74B-A87C-F78E9E402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tha Lakshmi" refreshedDate="46084.468588310185" createdVersion="8" refreshedVersion="8" minRefreshableVersion="3" recordCount="91" xr:uid="{1FFD6BF6-E3B4-EE47-AFB0-9504387710F2}">
  <cacheSource type="worksheet">
    <worksheetSource name="Table1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4-01-03T00:00:00" maxDate="2024-12-05T00:00:00"/>
    </cacheField>
    <cacheField name="Customer_ID" numFmtId="0">
      <sharedItems count="19">
        <s v="CUST18"/>
        <s v="CUST13"/>
        <s v="CUST10"/>
        <s v="CUST4"/>
        <s v="CUST20"/>
        <s v="CUST2"/>
        <s v="CUST16"/>
        <s v="CUST19"/>
        <s v="CUST3"/>
        <s v="CUST11"/>
        <s v="CUST1"/>
        <s v="CUST14"/>
        <s v="CUST8"/>
        <s v="CUST15"/>
        <s v="CUST7"/>
        <s v="CUST6"/>
        <s v="CUST5"/>
        <s v="CUST9"/>
        <s v="CUST17"/>
      </sharedItems>
    </cacheField>
    <cacheField name="Product" numFmtId="0">
      <sharedItems/>
    </cacheField>
    <cacheField name="Category" numFmtId="0">
      <sharedItems count="2">
        <s v="Accessories"/>
        <s v="Electronics"/>
      </sharedItems>
    </cacheField>
    <cacheField name="Quantity" numFmtId="0">
      <sharedItems containsSemiMixedTypes="0" containsString="0" containsNumber="1" containsInteger="1" minValue="-2" maxValue="5"/>
    </cacheField>
    <cacheField name="Unit_Price" numFmtId="0">
      <sharedItems containsSemiMixedTypes="0" containsString="0" containsNumber="1" containsInteger="1" minValue="2139" maxValue="49929"/>
    </cacheField>
    <cacheField name="Discount_%" numFmtId="0">
      <sharedItems containsSemiMixedTypes="0" containsString="0" containsNumber="1" containsInteger="1" minValue="0" maxValue="20"/>
    </cacheField>
    <cacheField name="Sales" numFmtId="0">
      <sharedItems containsSemiMixedTypes="0" containsString="0" containsNumber="1" minValue="-99858" maxValue="205348.5"/>
    </cacheField>
    <cacheField name="Profit" numFmtId="0">
      <sharedItems containsSemiMixedTypes="0" containsString="0" containsNumber="1" minValue="-27944.73" maxValue="51546.58"/>
    </cacheField>
    <cacheField name="Country" numFmtId="0">
      <sharedItems count="4">
        <s v="India"/>
        <s v="UK"/>
        <s v="USA"/>
        <s v="Canada"/>
      </sharedItems>
    </cacheField>
    <cacheField name="Payment_Method" numFmtId="0">
      <sharedItems/>
    </cacheField>
    <cacheField name="Year" numFmtId="0">
      <sharedItems containsSemiMixedTypes="0" containsString="0" containsNumber="1" containsInteger="1" minValue="2024" maxValue="2024"/>
    </cacheField>
    <cacheField name="Month" numFmtId="0">
      <sharedItems containsSemiMixedTypes="0" containsString="0" containsNumber="1" containsInteger="1" minValue="1" maxValue="12"/>
    </cacheField>
    <cacheField name="Profit_Margin" numFmtId="0">
      <sharedItems containsBlank="1" containsMixedTypes="1" containsNumber="1" minValue="-9.1224220097231495E-2" maxValue="0.26642909983466001"/>
    </cacheField>
    <cacheField name="Month Column" numFmtId="0">
      <sharedItems count="10">
        <s v="May"/>
        <s v="Feb"/>
        <s v="Mar"/>
        <s v="Jun"/>
        <s v="Jan"/>
        <s v="Apr"/>
        <s v="Aug"/>
        <s v="Dec"/>
        <s v="Oct"/>
        <s v="Nov"/>
      </sharedItems>
    </cacheField>
    <cacheField name="Year Column" numFmtId="0">
      <sharedItems containsSemiMixedTypes="0" containsString="0" containsNumber="1" containsInteger="1" minValue="2024" maxValue="2024"/>
    </cacheField>
    <cacheField name="Profit % Column" numFmtId="0">
      <sharedItems containsMixedTypes="1" containsNumber="1" minValue="-9.1224220097231509E-2" maxValue="0.29064285714285715" count="81">
        <n v="-2.0414523920835284E-3"/>
        <n v="-8.9385522636682715E-2"/>
        <n v="-3.7808141065005699E-2"/>
        <n v="0.28924628247573086"/>
        <n v="0.20922818035668675"/>
        <n v="0.1807282475729419"/>
        <n v="-1.2153846682425376E-2"/>
        <n v="0.25054708222811672"/>
        <e v="#DIV/0!"/>
        <n v="0.15097832414477966"/>
        <n v="0.17268416032650888"/>
        <n v="0.10307262481550661"/>
        <n v="-6.5738548909293565E-2"/>
        <n v="0.2021060066063978"/>
        <n v="-7.1657544956997665E-2"/>
        <n v="-6.1227654492217592E-2"/>
        <n v="-2.336417993161994E-2"/>
        <n v="0.23441022280471821"/>
        <n v="0.13167197128732985"/>
        <n v="0.13801388231582268"/>
        <n v="0.12609074497747907"/>
        <n v="0.25234567901234567"/>
        <n v="0.2755720295622513"/>
        <n v="0.10216357088196416"/>
        <n v="-3.5367043445958909E-2"/>
        <n v="0.27030549963250566"/>
        <n v="0.21494988513819996"/>
        <n v="0.16401350188629293"/>
        <n v="-2.396869173399627E-2"/>
        <n v="0.14926226219406025"/>
        <n v="-2.3263892361969459E-2"/>
        <n v="0.14266470198444528"/>
        <n v="0.16911803678380241"/>
        <n v="-2.2225937829167864E-2"/>
        <n v="8.5820306003658739E-2"/>
        <n v="0.25888323355712289"/>
        <n v="-6.2024585101508175E-3"/>
        <n v="6.3040735512722823E-2"/>
        <n v="0.20139006831219808"/>
        <n v="5.5542889844402511E-2"/>
        <n v="-4.5719831008557393E-2"/>
        <n v="9.0864942083938415E-4"/>
        <n v="0.27984467944481162"/>
        <n v="0.14235716951954355"/>
        <n v="-6.9601414368152884E-2"/>
        <n v="-7.2417318465479372E-2"/>
        <n v="-2.4545565603631089E-3"/>
        <n v="3.6135318579641404E-2"/>
        <n v="0.2032658791783265"/>
        <n v="4.7608426119511847E-2"/>
        <n v="-5.1737694752344784E-2"/>
        <n v="0.29064285714285715"/>
        <n v="-4.936687100213219E-2"/>
        <n v="7.6187591023870363E-2"/>
        <n v="-3.9309147853321159E-2"/>
        <n v="1.8941219573360916E-2"/>
        <n v="-3.7177044219021467E-2"/>
        <n v="0.18119521409857306"/>
        <n v="0.2633645334022946"/>
        <n v="0.17989349812635594"/>
        <n v="-8.4305239179954441E-3"/>
        <n v="0.26642909983466001"/>
        <n v="0.1680533798803503"/>
        <n v="-5.3631437904661308E-2"/>
        <n v="0.15016349363685044"/>
        <n v="2.4300126272802987E-2"/>
        <n v="3.8049601335673394E-2"/>
        <n v="-8.2541067800016368E-2"/>
        <n v="0.14698375792635443"/>
        <n v="-3.2006505435665362E-2"/>
        <n v="0.16673634245650706"/>
        <n v="8.2734295292231461E-2"/>
        <n v="-9.1224220097231509E-2"/>
        <n v="-1.2398084709672437E-2"/>
        <n v="0.19294388718535072"/>
        <n v="0.26561936837129602"/>
        <n v="0.16913132113105714"/>
        <n v="3.1202557053184761E-2"/>
        <n v="0.25416553617636461"/>
        <n v="7.7878446805510107E-2"/>
        <n v="0.27960429708632817"/>
      </sharedItems>
    </cacheField>
    <cacheField name="Net Sales Column" numFmtId="0">
      <sharedItems containsSemiMixedTypes="0" containsString="0" containsNumber="1" minValue="0" maxValue="20534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ORD001"/>
    <d v="2024-05-02T00:00:00"/>
    <x v="0"/>
    <s v="Mouse"/>
    <x v="0"/>
    <n v="-1"/>
    <n v="2139"/>
    <n v="10"/>
    <n v="-1925.1"/>
    <n v="3.93"/>
    <x v="0"/>
    <s v="UPI"/>
    <n v="2024"/>
    <n v="5"/>
    <n v="-2.0414523920835202E-3"/>
    <x v="0"/>
    <n v="2024"/>
    <x v="0"/>
    <n v="0"/>
  </r>
  <r>
    <s v="ORD002"/>
    <d v="2024-02-20T00:00:00"/>
    <x v="0"/>
    <s v="Phone"/>
    <x v="1"/>
    <n v="1"/>
    <n v="33618"/>
    <n v="20"/>
    <n v="26894.400000000001"/>
    <n v="-2403.9699999999998"/>
    <x v="1"/>
    <s v="UPI"/>
    <n v="2024"/>
    <n v="2"/>
    <n v="-8.9385522636682702E-2"/>
    <x v="1"/>
    <n v="2024"/>
    <x v="1"/>
    <n v="26894.400000000001"/>
  </r>
  <r>
    <s v="ORD003"/>
    <d v="2024-03-27T00:00:00"/>
    <x v="1"/>
    <s v="Phone"/>
    <x v="1"/>
    <n v="4"/>
    <n v="22798"/>
    <n v="10"/>
    <n v="82072.800000000003"/>
    <n v="-3103.02"/>
    <x v="1"/>
    <s v="UPI"/>
    <n v="2024"/>
    <n v="3"/>
    <n v="-3.7808141065005699E-2"/>
    <x v="2"/>
    <n v="2024"/>
    <x v="2"/>
    <n v="82072.800000000003"/>
  </r>
  <r>
    <s v="ORD004"/>
    <d v="2024-06-04T00:00:00"/>
    <x v="2"/>
    <s v="Mouse"/>
    <x v="0"/>
    <n v="5"/>
    <n v="35642"/>
    <n v="0"/>
    <n v="178210"/>
    <n v="51546.58"/>
    <x v="1"/>
    <s v="Credit Card"/>
    <n v="2024"/>
    <n v="6"/>
    <s v="0.28924628247573086"/>
    <x v="3"/>
    <n v="2024"/>
    <x v="3"/>
    <n v="178210"/>
  </r>
  <r>
    <s v="ORD005"/>
    <d v="2024-01-21T00:00:00"/>
    <x v="3"/>
    <s v="Mouse"/>
    <x v="0"/>
    <n v="-1"/>
    <n v="3503"/>
    <n v="5"/>
    <n v="-3327.85"/>
    <n v="-696.28"/>
    <x v="1"/>
    <s v="Credit Card"/>
    <n v="2024"/>
    <n v="1"/>
    <s v="0.20922818035668675"/>
    <x v="4"/>
    <n v="2024"/>
    <x v="4"/>
    <n v="0"/>
  </r>
  <r>
    <s v="ORD006"/>
    <d v="2024-06-23T00:00:00"/>
    <x v="4"/>
    <s v="Headphones"/>
    <x v="0"/>
    <n v="3"/>
    <n v="14230"/>
    <n v="10"/>
    <n v="38421"/>
    <n v="6943.76"/>
    <x v="2"/>
    <s v="Credit Card"/>
    <n v="2024"/>
    <n v="6"/>
    <s v="0.1807282475729419"/>
    <x v="3"/>
    <n v="2024"/>
    <x v="5"/>
    <n v="38421"/>
  </r>
  <r>
    <s v="ORD007"/>
    <d v="2024-03-24T00:00:00"/>
    <x v="5"/>
    <s v="Keyboard"/>
    <x v="0"/>
    <n v="1"/>
    <n v="18191"/>
    <n v="20"/>
    <n v="58211.199999999997"/>
    <n v="-707.49"/>
    <x v="1"/>
    <s v="Net Banking"/>
    <n v="2024"/>
    <n v="3"/>
    <n v="-1.21538466824253E-2"/>
    <x v="2"/>
    <n v="2024"/>
    <x v="6"/>
    <n v="58211.199999999997"/>
  </r>
  <r>
    <s v="ORD008"/>
    <d v="2024-03-21T00:00:00"/>
    <x v="6"/>
    <s v="Headphones"/>
    <x v="0"/>
    <n v="-1"/>
    <n v="14326"/>
    <n v="20"/>
    <n v="-11460.8"/>
    <n v="-2871.47"/>
    <x v="3"/>
    <s v="Credit Card"/>
    <n v="2024"/>
    <n v="3"/>
    <s v="0.2505470822281167"/>
    <x v="2"/>
    <n v="2024"/>
    <x v="7"/>
    <n v="0"/>
  </r>
  <r>
    <s v="ORD009"/>
    <d v="2024-05-29T00:00:00"/>
    <x v="7"/>
    <s v="Headphones"/>
    <x v="0"/>
    <n v="0"/>
    <n v="16662"/>
    <n v="20"/>
    <n v="0"/>
    <n v="0"/>
    <x v="2"/>
    <s v="Net Banking"/>
    <n v="2024"/>
    <n v="5"/>
    <m/>
    <x v="0"/>
    <n v="2024"/>
    <x v="8"/>
    <n v="0"/>
  </r>
  <r>
    <s v="ORD010"/>
    <d v="2024-06-23T00:00:00"/>
    <x v="8"/>
    <s v="Laptop"/>
    <x v="1"/>
    <n v="-2"/>
    <n v="7685"/>
    <n v="5"/>
    <n v="-14601.5"/>
    <n v="-2204.5100000000002"/>
    <x v="3"/>
    <s v="Debit Card"/>
    <n v="2024"/>
    <n v="6"/>
    <s v="0.15097832414477966"/>
    <x v="3"/>
    <n v="2024"/>
    <x v="9"/>
    <n v="0"/>
  </r>
  <r>
    <s v="ORD011"/>
    <d v="2024-05-17T00:00:00"/>
    <x v="9"/>
    <s v="Monitor"/>
    <x v="1"/>
    <n v="-2"/>
    <n v="45083"/>
    <n v="0"/>
    <n v="-90166"/>
    <n v="-15570.24"/>
    <x v="3"/>
    <s v="UPI"/>
    <n v="2024"/>
    <n v="5"/>
    <s v="0.17268416032650888"/>
    <x v="0"/>
    <n v="2024"/>
    <x v="10"/>
    <n v="0"/>
  </r>
  <r>
    <s v="ORD012"/>
    <d v="2024-01-28T00:00:00"/>
    <x v="2"/>
    <s v="Mouse"/>
    <x v="0"/>
    <n v="2"/>
    <n v="33306"/>
    <n v="5"/>
    <n v="63281.4"/>
    <n v="6522.58"/>
    <x v="2"/>
    <s v="Credit Card"/>
    <n v="2024"/>
    <n v="1"/>
    <s v="0.10307262481550661"/>
    <x v="4"/>
    <n v="2024"/>
    <x v="11"/>
    <n v="63281.4"/>
  </r>
  <r>
    <s v="ORD013"/>
    <d v="2024-02-06T00:00:00"/>
    <x v="10"/>
    <s v="Headphones"/>
    <x v="0"/>
    <n v="0"/>
    <n v="35848"/>
    <n v="20"/>
    <n v="0"/>
    <n v="0"/>
    <x v="1"/>
    <s v="Credit Card"/>
    <n v="2024"/>
    <n v="2"/>
    <m/>
    <x v="1"/>
    <n v="2024"/>
    <x v="8"/>
    <n v="0"/>
  </r>
  <r>
    <s v="ORD014"/>
    <d v="2024-04-05T00:00:00"/>
    <x v="0"/>
    <s v="Laptop"/>
    <x v="1"/>
    <n v="1"/>
    <n v="37682"/>
    <n v="0"/>
    <n v="37682"/>
    <n v="-2477.16"/>
    <x v="3"/>
    <s v="Credit Card"/>
    <n v="2024"/>
    <n v="4"/>
    <n v="-6.5738548909293495E-2"/>
    <x v="5"/>
    <n v="2024"/>
    <x v="12"/>
    <n v="37682"/>
  </r>
  <r>
    <s v="ORD015"/>
    <d v="2024-06-25T00:00:00"/>
    <x v="2"/>
    <s v="Headphones"/>
    <x v="0"/>
    <n v="4"/>
    <n v="14380"/>
    <n v="20"/>
    <n v="46016"/>
    <n v="9300.11"/>
    <x v="1"/>
    <s v="Net Banking"/>
    <n v="2024"/>
    <n v="6"/>
    <s v="0.2021060066063978"/>
    <x v="3"/>
    <n v="2024"/>
    <x v="13"/>
    <n v="46016"/>
  </r>
  <r>
    <s v="ORD017"/>
    <d v="2024-01-03T00:00:00"/>
    <x v="6"/>
    <s v="Phone"/>
    <x v="1"/>
    <n v="-1"/>
    <n v="2558"/>
    <n v="10"/>
    <n v="-2302.1999999999998"/>
    <n v="164.97"/>
    <x v="3"/>
    <s v="Credit Card"/>
    <n v="2024"/>
    <n v="1"/>
    <n v="-7.1657544956997596E-2"/>
    <x v="4"/>
    <n v="2024"/>
    <x v="14"/>
    <n v="0"/>
  </r>
  <r>
    <s v="ORD018"/>
    <d v="2024-04-20T00:00:00"/>
    <x v="11"/>
    <s v="Keyboard"/>
    <x v="0"/>
    <n v="4"/>
    <n v="12978"/>
    <n v="0"/>
    <n v="51912"/>
    <n v="-3178.45"/>
    <x v="0"/>
    <s v="UPI"/>
    <n v="2024"/>
    <n v="4"/>
    <n v="-6.1227654492217502E-2"/>
    <x v="5"/>
    <n v="2024"/>
    <x v="15"/>
    <n v="51912"/>
  </r>
  <r>
    <s v="ORD019"/>
    <d v="2024-05-17T00:00:00"/>
    <x v="11"/>
    <s v="Keyboard"/>
    <x v="0"/>
    <n v="3"/>
    <n v="7661"/>
    <n v="5"/>
    <n v="21833.85"/>
    <n v="-510.13"/>
    <x v="0"/>
    <s v="Net Banking"/>
    <n v="2024"/>
    <n v="5"/>
    <n v="-2.3364179931619902E-2"/>
    <x v="0"/>
    <n v="2024"/>
    <x v="16"/>
    <n v="21833.85"/>
  </r>
  <r>
    <s v="ORD020"/>
    <d v="2024-01-24T00:00:00"/>
    <x v="12"/>
    <s v="Monitor"/>
    <x v="1"/>
    <n v="-1"/>
    <n v="3815"/>
    <n v="20"/>
    <n v="-3052"/>
    <n v="-715.42"/>
    <x v="2"/>
    <s v="Net Banking"/>
    <n v="2024"/>
    <n v="1"/>
    <s v="0.2344102228047182"/>
    <x v="4"/>
    <n v="2024"/>
    <x v="17"/>
    <n v="0"/>
  </r>
  <r>
    <s v="ORD021"/>
    <d v="2024-08-03T00:00:00"/>
    <x v="13"/>
    <s v="Laptop"/>
    <x v="1"/>
    <n v="0"/>
    <n v="25336"/>
    <n v="0"/>
    <n v="0"/>
    <n v="0"/>
    <x v="3"/>
    <s v="Credit Card"/>
    <n v="2024"/>
    <n v="8"/>
    <m/>
    <x v="6"/>
    <n v="2024"/>
    <x v="8"/>
    <n v="0"/>
  </r>
  <r>
    <s v="ORD022"/>
    <d v="2024-05-18T00:00:00"/>
    <x v="9"/>
    <s v="Phone"/>
    <x v="1"/>
    <n v="2"/>
    <n v="14767"/>
    <n v="0"/>
    <n v="29534"/>
    <n v="3888.8"/>
    <x v="2"/>
    <s v="UPI"/>
    <n v="2024"/>
    <n v="5"/>
    <s v="0.13167197128732985"/>
    <x v="0"/>
    <n v="2024"/>
    <x v="18"/>
    <n v="29534"/>
  </r>
  <r>
    <s v="ORD023"/>
    <d v="2024-06-21T00:00:00"/>
    <x v="1"/>
    <s v="Monitor"/>
    <x v="1"/>
    <n v="-1"/>
    <n v="12678"/>
    <n v="0"/>
    <n v="-12678"/>
    <n v="-1749.74"/>
    <x v="2"/>
    <s v="UPI"/>
    <n v="2024"/>
    <n v="6"/>
    <s v="0.13801388231582268"/>
    <x v="3"/>
    <n v="2024"/>
    <x v="19"/>
    <n v="0"/>
  </r>
  <r>
    <s v="ORD024"/>
    <d v="2024-03-21T00:00:00"/>
    <x v="14"/>
    <s v="Monitor"/>
    <x v="1"/>
    <n v="-1"/>
    <n v="27974"/>
    <n v="20"/>
    <n v="-22379.200000000001"/>
    <n v="-2821.81"/>
    <x v="1"/>
    <s v="Net Banking"/>
    <n v="2024"/>
    <n v="3"/>
    <s v="0.12609074497747907"/>
    <x v="2"/>
    <n v="2024"/>
    <x v="20"/>
    <n v="0"/>
  </r>
  <r>
    <s v="ORD026"/>
    <d v="2024-03-03T00:00:00"/>
    <x v="15"/>
    <s v="Monitor"/>
    <x v="1"/>
    <n v="2"/>
    <n v="9180"/>
    <n v="10"/>
    <n v="16524"/>
    <n v="4169.76"/>
    <x v="1"/>
    <s v="UPI"/>
    <n v="2024"/>
    <n v="3"/>
    <s v="0.25234567901234567"/>
    <x v="2"/>
    <n v="2024"/>
    <x v="21"/>
    <n v="16524"/>
  </r>
  <r>
    <s v="ORD027"/>
    <d v="2024-04-02T00:00:00"/>
    <x v="3"/>
    <s v="Mouse"/>
    <x v="0"/>
    <n v="2"/>
    <n v="43975"/>
    <n v="0"/>
    <n v="87950"/>
    <n v="24236.560000000001"/>
    <x v="1"/>
    <s v="Credit Card"/>
    <n v="2024"/>
    <n v="4"/>
    <s v="0.2755720295622513"/>
    <x v="5"/>
    <n v="2024"/>
    <x v="22"/>
    <n v="87950"/>
  </r>
  <r>
    <s v="ORD028"/>
    <d v="2024-05-03T00:00:00"/>
    <x v="5"/>
    <s v="Mouse"/>
    <x v="0"/>
    <n v="3"/>
    <n v="13842"/>
    <n v="10"/>
    <n v="37373.4"/>
    <n v="3818.2"/>
    <x v="1"/>
    <s v="UPI"/>
    <n v="2024"/>
    <n v="5"/>
    <s v="0.10216357088196416"/>
    <x v="0"/>
    <n v="2024"/>
    <x v="23"/>
    <n v="37373.4"/>
  </r>
  <r>
    <s v="ORD029"/>
    <d v="2024-04-23T00:00:00"/>
    <x v="11"/>
    <s v="Laptop"/>
    <x v="1"/>
    <n v="3"/>
    <n v="9073"/>
    <n v="10"/>
    <n v="24497.1"/>
    <n v="-866.39"/>
    <x v="2"/>
    <s v="UPI"/>
    <n v="2024"/>
    <n v="4"/>
    <n v="-3.5367043445958903E-2"/>
    <x v="5"/>
    <n v="2024"/>
    <x v="24"/>
    <n v="24497.1"/>
  </r>
  <r>
    <s v="ORD030"/>
    <d v="2024-03-04T00:00:00"/>
    <x v="5"/>
    <s v="Headphones"/>
    <x v="0"/>
    <n v="0"/>
    <n v="28666"/>
    <n v="5"/>
    <n v="0"/>
    <n v="0"/>
    <x v="2"/>
    <s v="UPI"/>
    <n v="2024"/>
    <n v="3"/>
    <m/>
    <x v="2"/>
    <n v="2024"/>
    <x v="8"/>
    <n v="0"/>
  </r>
  <r>
    <s v="ORD031"/>
    <d v="2024-01-03T00:00:00"/>
    <x v="15"/>
    <s v="Headphones"/>
    <x v="0"/>
    <n v="1"/>
    <n v="41175"/>
    <n v="5"/>
    <n v="156465"/>
    <n v="42293.35"/>
    <x v="1"/>
    <s v="Net Banking"/>
    <n v="2024"/>
    <n v="1"/>
    <s v="0.27030549963250566"/>
    <x v="4"/>
    <n v="2024"/>
    <x v="25"/>
    <n v="156465"/>
  </r>
  <r>
    <s v="ORD032"/>
    <d v="2024-01-28T00:00:00"/>
    <x v="5"/>
    <s v="Mouse"/>
    <x v="0"/>
    <n v="1"/>
    <n v="17985"/>
    <n v="5"/>
    <n v="17085.75"/>
    <n v="3672.58"/>
    <x v="3"/>
    <s v="Debit Card"/>
    <n v="2024"/>
    <n v="1"/>
    <s v="0.21494988513819996"/>
    <x v="4"/>
    <n v="2024"/>
    <x v="26"/>
    <n v="17085.75"/>
  </r>
  <r>
    <s v="ORD033"/>
    <d v="2024-12-04T00:00:00"/>
    <x v="8"/>
    <s v="Headphones"/>
    <x v="0"/>
    <n v="1"/>
    <n v="15109"/>
    <n v="0"/>
    <n v="15109"/>
    <n v="2478.08"/>
    <x v="3"/>
    <s v="Debit Card"/>
    <n v="2024"/>
    <n v="12"/>
    <s v="0.16401350188629293"/>
    <x v="7"/>
    <n v="2024"/>
    <x v="27"/>
    <n v="15109"/>
  </r>
  <r>
    <s v="ORD035"/>
    <d v="2024-12-01T00:00:00"/>
    <x v="10"/>
    <s v="Monitor"/>
    <x v="1"/>
    <n v="-1"/>
    <n v="25744"/>
    <n v="20"/>
    <n v="-20595.2"/>
    <n v="493.64"/>
    <x v="2"/>
    <s v="Debit Card"/>
    <n v="2024"/>
    <n v="12"/>
    <n v="-2.3968691733996201E-2"/>
    <x v="7"/>
    <n v="2024"/>
    <x v="28"/>
    <n v="0"/>
  </r>
  <r>
    <s v="ORD036"/>
    <d v="2024-06-18T00:00:00"/>
    <x v="2"/>
    <s v="Keyboard"/>
    <x v="0"/>
    <n v="-1"/>
    <n v="44031"/>
    <n v="10"/>
    <n v="-39627.9"/>
    <n v="-5914.95"/>
    <x v="1"/>
    <s v="Net Banking"/>
    <n v="2024"/>
    <n v="6"/>
    <s v="0.14926226219406025"/>
    <x v="3"/>
    <n v="2024"/>
    <x v="29"/>
    <n v="0"/>
  </r>
  <r>
    <s v="ORD037"/>
    <d v="2024-06-19T00:00:00"/>
    <x v="15"/>
    <s v="Mouse"/>
    <x v="0"/>
    <n v="2"/>
    <n v="36833"/>
    <n v="5"/>
    <n v="69982.7"/>
    <n v="-1628.07"/>
    <x v="0"/>
    <s v="Debit Card"/>
    <n v="2024"/>
    <n v="6"/>
    <n v="-2.32638923619694E-2"/>
    <x v="3"/>
    <n v="2024"/>
    <x v="30"/>
    <n v="69982.7"/>
  </r>
  <r>
    <s v="ORD038"/>
    <d v="2024-03-23T00:00:00"/>
    <x v="13"/>
    <s v="Headphones"/>
    <x v="0"/>
    <n v="1"/>
    <n v="28673"/>
    <n v="20"/>
    <n v="22938.400000000001"/>
    <n v="3272.5"/>
    <x v="2"/>
    <s v="UPI"/>
    <n v="2024"/>
    <n v="3"/>
    <s v="0.14266470198444528"/>
    <x v="2"/>
    <n v="2024"/>
    <x v="31"/>
    <n v="22938.400000000001"/>
  </r>
  <r>
    <s v="ORD039"/>
    <d v="2024-02-27T00:00:00"/>
    <x v="16"/>
    <s v="Headphones"/>
    <x v="1"/>
    <n v="3"/>
    <n v="6620"/>
    <n v="5"/>
    <n v="18867"/>
    <n v="3190.75"/>
    <x v="3"/>
    <s v="UPI"/>
    <n v="2024"/>
    <n v="2"/>
    <s v="0.1691180367838024"/>
    <x v="1"/>
    <n v="2024"/>
    <x v="32"/>
    <n v="18867"/>
  </r>
  <r>
    <s v="ORD040"/>
    <d v="2024-06-27T00:00:00"/>
    <x v="1"/>
    <s v="Keyboard"/>
    <x v="0"/>
    <n v="4"/>
    <n v="41772"/>
    <n v="20"/>
    <n v="133670.39999999999"/>
    <n v="-2970.95"/>
    <x v="0"/>
    <s v="UPI"/>
    <n v="2024"/>
    <n v="6"/>
    <n v="-2.2225937829167802E-2"/>
    <x v="3"/>
    <n v="2024"/>
    <x v="33"/>
    <n v="133670.39999999999"/>
  </r>
  <r>
    <s v="ORD041"/>
    <d v="2024-05-22T00:00:00"/>
    <x v="3"/>
    <s v="Keyboard"/>
    <x v="0"/>
    <n v="1"/>
    <n v="12026"/>
    <n v="20"/>
    <n v="9620.7999999999993"/>
    <n v="825.66"/>
    <x v="1"/>
    <s v="Net Banking"/>
    <n v="2024"/>
    <n v="5"/>
    <n v="8.5820306003658697E-2"/>
    <x v="0"/>
    <n v="2024"/>
    <x v="34"/>
    <n v="9620.7999999999993"/>
  </r>
  <r>
    <s v="ORD042"/>
    <d v="2024-01-05T00:00:00"/>
    <x v="12"/>
    <s v="Monitor"/>
    <x v="1"/>
    <n v="4"/>
    <n v="36405"/>
    <n v="15"/>
    <n v="123777"/>
    <n v="32043.79"/>
    <x v="3"/>
    <s v="Credit Card"/>
    <n v="2024"/>
    <n v="1"/>
    <s v="0.2588832335571229"/>
    <x v="4"/>
    <n v="2024"/>
    <x v="35"/>
    <n v="123777"/>
  </r>
  <r>
    <s v="ORD043"/>
    <d v="2024-03-26T00:00:00"/>
    <x v="0"/>
    <s v="Headphones"/>
    <x v="0"/>
    <n v="5"/>
    <n v="5577"/>
    <n v="10"/>
    <n v="25096.5"/>
    <n v="-155.66"/>
    <x v="3"/>
    <s v="Credit Card"/>
    <n v="2024"/>
    <n v="3"/>
    <n v="-6.2024585101508097E-3"/>
    <x v="2"/>
    <n v="2024"/>
    <x v="36"/>
    <n v="25096.5"/>
  </r>
  <r>
    <s v="ORD044"/>
    <d v="2024-05-18T00:00:00"/>
    <x v="5"/>
    <s v="Mouse"/>
    <x v="0"/>
    <n v="1"/>
    <n v="4709"/>
    <n v="15"/>
    <n v="4002.65"/>
    <n v="252.33"/>
    <x v="0"/>
    <s v="Net Banking"/>
    <n v="2024"/>
    <n v="5"/>
    <n v="6.3040735512722795E-2"/>
    <x v="0"/>
    <n v="2024"/>
    <x v="37"/>
    <n v="4002.65"/>
  </r>
  <r>
    <s v="ORD045"/>
    <d v="2024-04-17T00:00:00"/>
    <x v="0"/>
    <s v="Keyboard"/>
    <x v="0"/>
    <n v="-2"/>
    <n v="23552"/>
    <n v="10"/>
    <n v="-42393.599999999999"/>
    <n v="-8537.65"/>
    <x v="3"/>
    <s v="Credit Card"/>
    <n v="2024"/>
    <n v="4"/>
    <s v="0.20139006831219808"/>
    <x v="5"/>
    <n v="2024"/>
    <x v="38"/>
    <n v="0"/>
  </r>
  <r>
    <s v="ORD046"/>
    <d v="2024-06-20T00:00:00"/>
    <x v="1"/>
    <s v="Headphones"/>
    <x v="0"/>
    <n v="4"/>
    <n v="32327"/>
    <n v="0"/>
    <n v="129308"/>
    <n v="7182.14"/>
    <x v="2"/>
    <s v="UPI"/>
    <n v="2024"/>
    <n v="6"/>
    <n v="5.5542889844402497E-2"/>
    <x v="3"/>
    <n v="2024"/>
    <x v="39"/>
    <n v="129308"/>
  </r>
  <r>
    <s v="ORD047"/>
    <d v="2024-04-28T00:00:00"/>
    <x v="17"/>
    <s v="Keyboard"/>
    <x v="0"/>
    <n v="-2"/>
    <n v="6001"/>
    <n v="15"/>
    <n v="-10201.700000000001"/>
    <n v="466.42"/>
    <x v="1"/>
    <s v="Debit Card"/>
    <n v="2024"/>
    <n v="4"/>
    <n v="-4.5719831008557303E-2"/>
    <x v="5"/>
    <n v="2024"/>
    <x v="40"/>
    <n v="0"/>
  </r>
  <r>
    <s v="ORD048"/>
    <d v="2024-01-21T00:00:00"/>
    <x v="0"/>
    <s v="Keyboard"/>
    <x v="0"/>
    <n v="2"/>
    <n v="49783"/>
    <n v="15"/>
    <n v="84631.1"/>
    <n v="76.900000000000006"/>
    <x v="2"/>
    <s v="UPI"/>
    <n v="2024"/>
    <n v="1"/>
    <n v="9.0864942083938405E-4"/>
    <x v="4"/>
    <n v="2024"/>
    <x v="41"/>
    <n v="84631.1"/>
  </r>
  <r>
    <s v="ORD049"/>
    <d v="2024-02-21T00:00:00"/>
    <x v="4"/>
    <s v="Mouse"/>
    <x v="0"/>
    <n v="-2"/>
    <n v="49929"/>
    <n v="0"/>
    <n v="-99858"/>
    <n v="-27944.73"/>
    <x v="0"/>
    <s v="Credit Card"/>
    <n v="2024"/>
    <n v="2"/>
    <s v="0.2798446794448116"/>
    <x v="1"/>
    <n v="2024"/>
    <x v="42"/>
    <n v="0"/>
  </r>
  <r>
    <s v="ORD050"/>
    <d v="2024-01-30T00:00:00"/>
    <x v="15"/>
    <s v="Keyboard"/>
    <x v="0"/>
    <n v="2"/>
    <n v="24675"/>
    <n v="5"/>
    <n v="46882.5"/>
    <n v="6674.06"/>
    <x v="0"/>
    <s v="Debit Card"/>
    <n v="2024"/>
    <n v="1"/>
    <s v="0.14235716951954355"/>
    <x v="4"/>
    <n v="2024"/>
    <x v="43"/>
    <n v="46882.5"/>
  </r>
  <r>
    <s v="ORD051"/>
    <d v="2024-06-25T00:00:00"/>
    <x v="12"/>
    <s v="Monitor"/>
    <x v="1"/>
    <n v="4"/>
    <n v="26495"/>
    <n v="5"/>
    <n v="100681"/>
    <n v="-7007.54"/>
    <x v="0"/>
    <s v="UPI"/>
    <n v="2024"/>
    <n v="6"/>
    <n v="-6.96014143681528E-2"/>
    <x v="3"/>
    <n v="2024"/>
    <x v="44"/>
    <n v="100681"/>
  </r>
  <r>
    <s v="ORD052"/>
    <d v="2024-06-14T00:00:00"/>
    <x v="11"/>
    <s v="Headphones"/>
    <x v="0"/>
    <n v="4"/>
    <n v="43853"/>
    <n v="10"/>
    <n v="157870.79999999999"/>
    <n v="-11432.58"/>
    <x v="1"/>
    <s v="Net Banking"/>
    <n v="2024"/>
    <n v="6"/>
    <n v="-7.2417318465479302E-2"/>
    <x v="3"/>
    <n v="2024"/>
    <x v="45"/>
    <n v="157870.79999999999"/>
  </r>
  <r>
    <s v="ORD053"/>
    <d v="2024-06-15T00:00:00"/>
    <x v="0"/>
    <s v="Mouse"/>
    <x v="0"/>
    <n v="0"/>
    <n v="29040"/>
    <n v="5"/>
    <n v="0"/>
    <n v="0"/>
    <x v="1"/>
    <s v="Debit Card"/>
    <n v="2024"/>
    <n v="6"/>
    <m/>
    <x v="3"/>
    <n v="2024"/>
    <x v="8"/>
    <n v="0"/>
  </r>
  <r>
    <s v="ORD054"/>
    <d v="2024-04-28T00:00:00"/>
    <x v="1"/>
    <s v="Phone"/>
    <x v="1"/>
    <n v="-1"/>
    <n v="18779"/>
    <n v="15"/>
    <n v="-15962.15"/>
    <n v="39.18"/>
    <x v="1"/>
    <s v="Credit Card"/>
    <n v="2024"/>
    <n v="4"/>
    <n v="-2.4545565603631002E-3"/>
    <x v="5"/>
    <n v="2024"/>
    <x v="46"/>
    <n v="0"/>
  </r>
  <r>
    <s v="ORD055"/>
    <d v="2024-01-06T00:00:00"/>
    <x v="17"/>
    <s v="Keyboard"/>
    <x v="0"/>
    <n v="1"/>
    <n v="23753"/>
    <n v="10"/>
    <n v="21377.7"/>
    <n v="772.49"/>
    <x v="2"/>
    <s v="UPI"/>
    <n v="2024"/>
    <n v="1"/>
    <s v="0.036135318579641404"/>
    <x v="4"/>
    <n v="2024"/>
    <x v="47"/>
    <n v="21377.7"/>
  </r>
  <r>
    <s v="ORD056"/>
    <d v="2024-06-25T00:00:00"/>
    <x v="6"/>
    <s v="Phone"/>
    <x v="1"/>
    <n v="1"/>
    <n v="32519"/>
    <n v="20"/>
    <n v="104060.8"/>
    <n v="21152.01"/>
    <x v="1"/>
    <s v="Credit Card"/>
    <n v="2024"/>
    <n v="6"/>
    <s v="0.2032658791783265"/>
    <x v="3"/>
    <n v="2024"/>
    <x v="48"/>
    <n v="104060.8"/>
  </r>
  <r>
    <s v="ORD057"/>
    <d v="2024-05-21T00:00:00"/>
    <x v="11"/>
    <s v="Keyboard"/>
    <x v="0"/>
    <n v="1"/>
    <n v="20567"/>
    <n v="20"/>
    <n v="16453.599999999999"/>
    <n v="783.33"/>
    <x v="1"/>
    <s v="Net Banking"/>
    <n v="2024"/>
    <n v="5"/>
    <n v="4.7608426119511799E-2"/>
    <x v="0"/>
    <n v="2024"/>
    <x v="49"/>
    <n v="16453.599999999999"/>
  </r>
  <r>
    <s v="ORD058"/>
    <d v="2024-02-19T00:00:00"/>
    <x v="0"/>
    <s v="Headphones"/>
    <x v="0"/>
    <n v="2"/>
    <n v="16975"/>
    <n v="5"/>
    <n v="32252.5"/>
    <n v="-1668.67"/>
    <x v="2"/>
    <s v="Credit Card"/>
    <n v="2024"/>
    <n v="2"/>
    <n v="-5.1737694752344701E-2"/>
    <x v="1"/>
    <n v="2024"/>
    <x v="50"/>
    <n v="32252.5"/>
  </r>
  <r>
    <s v="ORD059"/>
    <d v="2024-05-14T00:00:00"/>
    <x v="3"/>
    <s v="Mouse"/>
    <x v="0"/>
    <n v="5"/>
    <n v="18620"/>
    <n v="20"/>
    <n v="74480"/>
    <n v="21647.08"/>
    <x v="1"/>
    <s v="Credit Card"/>
    <n v="2024"/>
    <n v="5"/>
    <s v="0.29064285714285715"/>
    <x v="0"/>
    <n v="2024"/>
    <x v="51"/>
    <n v="74480"/>
  </r>
  <r>
    <s v="ORD060"/>
    <d v="2024-12-01T00:00:00"/>
    <x v="0"/>
    <s v="Headphones"/>
    <x v="0"/>
    <n v="-2"/>
    <n v="46900"/>
    <n v="20"/>
    <n v="-75040"/>
    <n v="3704.49"/>
    <x v="3"/>
    <s v="UPI"/>
    <n v="2024"/>
    <n v="12"/>
    <n v="-4.93668710021321E-2"/>
    <x v="7"/>
    <n v="2024"/>
    <x v="52"/>
    <n v="0"/>
  </r>
  <r>
    <s v="ORD061"/>
    <d v="2024-02-17T00:00:00"/>
    <x v="17"/>
    <s v="Laptop"/>
    <x v="1"/>
    <n v="2"/>
    <n v="31262"/>
    <n v="15"/>
    <n v="53145.4"/>
    <n v="4049.02"/>
    <x v="0"/>
    <s v="Net Banking"/>
    <n v="2024"/>
    <n v="2"/>
    <n v="7.6187591023870294E-2"/>
    <x v="1"/>
    <n v="2024"/>
    <x v="53"/>
    <n v="53145.4"/>
  </r>
  <r>
    <s v="ORD062"/>
    <d v="2024-05-24T00:00:00"/>
    <x v="8"/>
    <s v="Keyboard"/>
    <x v="0"/>
    <n v="-1"/>
    <n v="38315"/>
    <n v="0"/>
    <n v="-38315"/>
    <n v="1506.13"/>
    <x v="3"/>
    <s v="Credit Card"/>
    <n v="2024"/>
    <n v="5"/>
    <n v="-3.9309147853321097E-2"/>
    <x v="0"/>
    <n v="2024"/>
    <x v="54"/>
    <n v="0"/>
  </r>
  <r>
    <s v="ORD063"/>
    <d v="2024-05-30T00:00:00"/>
    <x v="2"/>
    <s v="Monitor"/>
    <x v="1"/>
    <n v="4"/>
    <n v="30024"/>
    <n v="15"/>
    <n v="102081.60000000001"/>
    <n v="1933.55"/>
    <x v="0"/>
    <s v="Credit Card"/>
    <n v="2024"/>
    <n v="5"/>
    <s v="0.018941219573360916"/>
    <x v="0"/>
    <n v="2024"/>
    <x v="55"/>
    <n v="102081.60000000001"/>
  </r>
  <r>
    <s v="ORD064"/>
    <d v="2024-02-14T00:00:00"/>
    <x v="15"/>
    <s v="Mouse"/>
    <x v="1"/>
    <n v="1"/>
    <n v="17843"/>
    <n v="0"/>
    <n v="17843"/>
    <n v="-663.35"/>
    <x v="3"/>
    <s v="Debit Card"/>
    <n v="2024"/>
    <n v="2"/>
    <n v="-3.7177044219021398E-2"/>
    <x v="1"/>
    <n v="2024"/>
    <x v="56"/>
    <n v="17843"/>
  </r>
  <r>
    <s v="ORD065"/>
    <d v="2024-04-26T00:00:00"/>
    <x v="12"/>
    <s v="Laptop"/>
    <x v="1"/>
    <n v="1"/>
    <n v="19381"/>
    <n v="10"/>
    <n v="17442.900000000001"/>
    <n v="3160.57"/>
    <x v="2"/>
    <s v="Net Banking"/>
    <n v="2024"/>
    <n v="4"/>
    <s v="0.18119521409857306"/>
    <x v="5"/>
    <n v="2024"/>
    <x v="57"/>
    <n v="17442.900000000001"/>
  </r>
  <r>
    <s v="ORD066"/>
    <d v="2024-06-02T00:00:00"/>
    <x v="15"/>
    <s v="Laptop"/>
    <x v="1"/>
    <n v="1"/>
    <n v="42943"/>
    <n v="5"/>
    <n v="40795.85"/>
    <n v="10744.18"/>
    <x v="1"/>
    <s v="Net Banking"/>
    <n v="2024"/>
    <n v="6"/>
    <s v="0.2633645334022946"/>
    <x v="3"/>
    <n v="2024"/>
    <x v="58"/>
    <n v="40795.85"/>
  </r>
  <r>
    <s v="ORD067"/>
    <d v="2024-10-03T00:00:00"/>
    <x v="6"/>
    <s v="Laptop"/>
    <x v="1"/>
    <n v="5"/>
    <n v="45633"/>
    <n v="10"/>
    <n v="205348.5"/>
    <n v="36940.86"/>
    <x v="3"/>
    <s v="Debit Card"/>
    <n v="2024"/>
    <n v="10"/>
    <s v="0.17989349812635594"/>
    <x v="8"/>
    <n v="2024"/>
    <x v="59"/>
    <n v="205348.5"/>
  </r>
  <r>
    <s v="ORD068"/>
    <d v="2024-06-21T00:00:00"/>
    <x v="7"/>
    <s v="Monitor"/>
    <x v="1"/>
    <n v="1"/>
    <n v="2195"/>
    <n v="0"/>
    <n v="4390"/>
    <n v="-37.01"/>
    <x v="1"/>
    <s v="UPI"/>
    <n v="2024"/>
    <n v="6"/>
    <n v="-8.4305239179954406E-3"/>
    <x v="3"/>
    <n v="2024"/>
    <x v="60"/>
    <n v="4390"/>
  </r>
  <r>
    <s v="ORD069"/>
    <d v="2024-02-16T00:00:00"/>
    <x v="11"/>
    <s v="Phone"/>
    <x v="1"/>
    <n v="5"/>
    <n v="34510"/>
    <n v="15"/>
    <n v="146667.5"/>
    <n v="39076.49"/>
    <x v="0"/>
    <s v="Net Banking"/>
    <n v="2024"/>
    <n v="2"/>
    <n v="0.26642909983466001"/>
    <x v="1"/>
    <n v="2024"/>
    <x v="61"/>
    <n v="146667.5"/>
  </r>
  <r>
    <s v="ORD070"/>
    <d v="2024-11-02T00:00:00"/>
    <x v="6"/>
    <s v="Headphones"/>
    <x v="0"/>
    <n v="4"/>
    <n v="22343"/>
    <n v="10"/>
    <n v="80434.8"/>
    <n v="13517.34"/>
    <x v="0"/>
    <s v="Net Banking"/>
    <n v="2024"/>
    <n v="11"/>
    <s v="0.1680533798803503"/>
    <x v="9"/>
    <n v="2024"/>
    <x v="62"/>
    <n v="80434.8"/>
  </r>
  <r>
    <s v="ORD071"/>
    <d v="2024-04-13T00:00:00"/>
    <x v="10"/>
    <s v="Laptop"/>
    <x v="1"/>
    <n v="3"/>
    <n v="17041"/>
    <n v="10"/>
    <n v="46010.7"/>
    <n v="-2467.62"/>
    <x v="3"/>
    <s v="UPI"/>
    <n v="2024"/>
    <n v="4"/>
    <n v="-5.3631437904661301E-2"/>
    <x v="5"/>
    <n v="2024"/>
    <x v="63"/>
    <n v="46010.7"/>
  </r>
  <r>
    <s v="ORD072"/>
    <d v="2024-01-14T00:00:00"/>
    <x v="0"/>
    <s v="Phone"/>
    <x v="1"/>
    <n v="3"/>
    <n v="41304"/>
    <n v="15"/>
    <n v="105325.2"/>
    <n v="15816"/>
    <x v="3"/>
    <s v="UPI"/>
    <n v="2024"/>
    <n v="1"/>
    <s v="0.15016349363685044"/>
    <x v="4"/>
    <n v="2024"/>
    <x v="64"/>
    <n v="105325.2"/>
  </r>
  <r>
    <s v="ORD073"/>
    <d v="2024-04-01T00:00:00"/>
    <x v="8"/>
    <s v="Laptop"/>
    <x v="1"/>
    <n v="1"/>
    <n v="47016"/>
    <n v="5"/>
    <n v="44665.2"/>
    <n v="1085.3699999999999"/>
    <x v="0"/>
    <s v="Net Banking"/>
    <n v="2024"/>
    <n v="4"/>
    <s v="0.024300126272802987"/>
    <x v="5"/>
    <n v="2024"/>
    <x v="65"/>
    <n v="44665.2"/>
  </r>
  <r>
    <s v="ORD074"/>
    <d v="2024-10-03T00:00:00"/>
    <x v="6"/>
    <s v="Laptop"/>
    <x v="1"/>
    <n v="0"/>
    <n v="33161"/>
    <n v="10"/>
    <n v="0"/>
    <n v="0"/>
    <x v="2"/>
    <s v="Net Banking"/>
    <n v="2024"/>
    <n v="10"/>
    <m/>
    <x v="8"/>
    <n v="2024"/>
    <x v="8"/>
    <n v="0"/>
  </r>
  <r>
    <s v="ORD075"/>
    <d v="2024-04-16T00:00:00"/>
    <x v="18"/>
    <s v="Phone"/>
    <x v="1"/>
    <n v="1"/>
    <n v="5075"/>
    <n v="10"/>
    <n v="0"/>
    <n v="0"/>
    <x v="1"/>
    <s v="Net Banking"/>
    <n v="2024"/>
    <n v="4"/>
    <m/>
    <x v="5"/>
    <n v="2024"/>
    <x v="8"/>
    <n v="0"/>
  </r>
  <r>
    <s v="ORD076"/>
    <d v="2024-05-21T00:00:00"/>
    <x v="1"/>
    <s v="Phone"/>
    <x v="1"/>
    <n v="5"/>
    <n v="35796"/>
    <n v="15"/>
    <n v="152133"/>
    <n v="5788.6"/>
    <x v="2"/>
    <s v="Credit Card"/>
    <n v="2024"/>
    <n v="5"/>
    <s v="0.038049601335673394"/>
    <x v="0"/>
    <n v="2024"/>
    <x v="66"/>
    <n v="152133"/>
  </r>
  <r>
    <s v="ORD077"/>
    <d v="2024-01-05T00:00:00"/>
    <x v="1"/>
    <s v="Monitor"/>
    <x v="1"/>
    <n v="4"/>
    <n v="15806"/>
    <n v="15"/>
    <n v="53740.4"/>
    <n v="-4435.79"/>
    <x v="2"/>
    <s v="Net Banking"/>
    <n v="2024"/>
    <n v="1"/>
    <n v="-8.2541067800016299E-2"/>
    <x v="4"/>
    <n v="2024"/>
    <x v="67"/>
    <n v="53740.4"/>
  </r>
  <r>
    <s v="ORD078"/>
    <d v="2024-01-26T00:00:00"/>
    <x v="13"/>
    <s v="Laptop"/>
    <x v="1"/>
    <n v="0"/>
    <n v="33418"/>
    <n v="20"/>
    <n v="0"/>
    <n v="0"/>
    <x v="0"/>
    <s v="Credit Card"/>
    <n v="2024"/>
    <n v="1"/>
    <m/>
    <x v="4"/>
    <n v="2024"/>
    <x v="8"/>
    <n v="0"/>
  </r>
  <r>
    <s v="ORD079"/>
    <d v="2024-08-03T00:00:00"/>
    <x v="1"/>
    <s v="Keyboard"/>
    <x v="0"/>
    <n v="0"/>
    <n v="5403"/>
    <n v="15"/>
    <n v="0"/>
    <n v="0"/>
    <x v="3"/>
    <s v="Debit Card"/>
    <n v="2024"/>
    <n v="8"/>
    <m/>
    <x v="6"/>
    <n v="2024"/>
    <x v="8"/>
    <n v="0"/>
  </r>
  <r>
    <s v="ORD080"/>
    <d v="2024-01-03T00:00:00"/>
    <x v="2"/>
    <s v="Mouse"/>
    <x v="0"/>
    <n v="5"/>
    <n v="35956"/>
    <n v="0"/>
    <n v="179780"/>
    <n v="26424.74"/>
    <x v="3"/>
    <s v="UPI"/>
    <n v="2024"/>
    <n v="1"/>
    <s v="0.14698375792635443"/>
    <x v="4"/>
    <n v="2024"/>
    <x v="68"/>
    <n v="179780"/>
  </r>
  <r>
    <s v="ORD082"/>
    <d v="2024-01-21T00:00:00"/>
    <x v="1"/>
    <s v="Monitor"/>
    <x v="1"/>
    <n v="4"/>
    <n v="37588"/>
    <n v="5"/>
    <n v="142834.4"/>
    <n v="-4571.63"/>
    <x v="2"/>
    <s v="Credit Card"/>
    <n v="2024"/>
    <n v="1"/>
    <n v="-3.20065054356653E-2"/>
    <x v="4"/>
    <n v="2024"/>
    <x v="69"/>
    <n v="142834.4"/>
  </r>
  <r>
    <s v="ORD083"/>
    <d v="2024-04-29T00:00:00"/>
    <x v="0"/>
    <s v="Keyboard"/>
    <x v="0"/>
    <n v="2"/>
    <n v="30618"/>
    <n v="10"/>
    <n v="55112.4"/>
    <n v="9189.24"/>
    <x v="1"/>
    <s v="Debit Card"/>
    <n v="2024"/>
    <n v="4"/>
    <s v="0.16673634245650706"/>
    <x v="5"/>
    <n v="2024"/>
    <x v="70"/>
    <n v="55112.4"/>
  </r>
  <r>
    <s v="ORD084"/>
    <d v="2024-03-18T00:00:00"/>
    <x v="1"/>
    <s v="Mouse"/>
    <x v="0"/>
    <n v="4"/>
    <n v="45740"/>
    <n v="10"/>
    <n v="164664"/>
    <n v="13623.36"/>
    <x v="3"/>
    <s v="Debit Card"/>
    <n v="2024"/>
    <n v="3"/>
    <n v="8.2734295292231405E-2"/>
    <x v="2"/>
    <n v="2024"/>
    <x v="71"/>
    <n v="164664"/>
  </r>
  <r>
    <s v="ORD085"/>
    <d v="2024-06-17T00:00:00"/>
    <x v="10"/>
    <s v="Monitor"/>
    <x v="1"/>
    <n v="2"/>
    <n v="46327"/>
    <n v="10"/>
    <n v="83388.600000000006"/>
    <n v="-7607.06"/>
    <x v="0"/>
    <s v="Net Banking"/>
    <n v="2024"/>
    <n v="6"/>
    <n v="-9.1224220097231495E-2"/>
    <x v="3"/>
    <n v="2024"/>
    <x v="72"/>
    <n v="83388.600000000006"/>
  </r>
  <r>
    <s v="ORD086"/>
    <d v="2024-02-18T00:00:00"/>
    <x v="16"/>
    <s v="Headphones"/>
    <x v="0"/>
    <n v="1"/>
    <n v="40284"/>
    <n v="10"/>
    <n v="36255.599999999999"/>
    <n v="-449.5"/>
    <x v="0"/>
    <s v="Debit Card"/>
    <n v="2024"/>
    <n v="2"/>
    <n v="-1.2398084709672399E-2"/>
    <x v="1"/>
    <n v="2024"/>
    <x v="73"/>
    <n v="36255.599999999999"/>
  </r>
  <r>
    <s v="ORD087"/>
    <d v="2024-01-24T00:00:00"/>
    <x v="9"/>
    <s v="Keyboard"/>
    <x v="0"/>
    <n v="-2"/>
    <n v="38482"/>
    <n v="10"/>
    <n v="-69267.600000000006"/>
    <n v="-13364.76"/>
    <x v="2"/>
    <s v="Debit Card"/>
    <n v="2024"/>
    <n v="1"/>
    <s v="0.19294388718535072"/>
    <x v="4"/>
    <n v="2024"/>
    <x v="74"/>
    <n v="0"/>
  </r>
  <r>
    <s v="ORD088"/>
    <d v="2024-03-05T00:00:00"/>
    <x v="2"/>
    <s v="Monitor"/>
    <x v="1"/>
    <n v="2"/>
    <n v="11283"/>
    <n v="10"/>
    <n v="20309.400000000001"/>
    <n v="5394.57"/>
    <x v="0"/>
    <s v="Net Banking"/>
    <n v="2024"/>
    <n v="3"/>
    <n v="0.26561936837129602"/>
    <x v="2"/>
    <n v="2024"/>
    <x v="75"/>
    <n v="20309.400000000001"/>
  </r>
  <r>
    <s v="ORD089"/>
    <d v="2024-06-21T00:00:00"/>
    <x v="0"/>
    <s v="Laptop"/>
    <x v="1"/>
    <n v="0"/>
    <n v="49924"/>
    <n v="5"/>
    <n v="0"/>
    <n v="0"/>
    <x v="0"/>
    <s v="Debit Card"/>
    <n v="2024"/>
    <n v="6"/>
    <m/>
    <x v="3"/>
    <n v="2024"/>
    <x v="8"/>
    <n v="0"/>
  </r>
  <r>
    <s v="ORD090"/>
    <d v="2024-06-21T00:00:00"/>
    <x v="1"/>
    <s v="Monitor"/>
    <x v="1"/>
    <n v="-1"/>
    <n v="30304"/>
    <n v="10"/>
    <n v="-27273.599999999999"/>
    <n v="-4612.82"/>
    <x v="0"/>
    <s v="Credit Card"/>
    <n v="2024"/>
    <n v="6"/>
    <s v="0.16913132113105714"/>
    <x v="3"/>
    <n v="2024"/>
    <x v="76"/>
    <n v="0"/>
  </r>
  <r>
    <s v="ORD091"/>
    <d v="2024-05-06T00:00:00"/>
    <x v="8"/>
    <s v="Keyboard"/>
    <x v="0"/>
    <n v="-2"/>
    <n v="41102"/>
    <n v="20"/>
    <n v="-65763.199999999997"/>
    <n v="-2051.98"/>
    <x v="1"/>
    <s v="Net Banking"/>
    <n v="2024"/>
    <n v="5"/>
    <n v="3.1202557053184699E-2"/>
    <x v="0"/>
    <n v="2024"/>
    <x v="77"/>
    <n v="0"/>
  </r>
  <r>
    <s v="ORD092"/>
    <d v="2024-06-05T00:00:00"/>
    <x v="12"/>
    <s v="Laptop"/>
    <x v="1"/>
    <n v="0"/>
    <n v="3471"/>
    <n v="0"/>
    <n v="0"/>
    <n v="0"/>
    <x v="3"/>
    <s v="Debit Card"/>
    <n v="2024"/>
    <n v="6"/>
    <m/>
    <x v="3"/>
    <n v="2024"/>
    <x v="8"/>
    <n v="0"/>
  </r>
  <r>
    <s v="ORD093"/>
    <d v="2024-06-16T00:00:00"/>
    <x v="6"/>
    <s v="Mouse"/>
    <x v="0"/>
    <n v="4"/>
    <n v="38991"/>
    <n v="5"/>
    <n v="148165.79999999999"/>
    <n v="37658.639999999999"/>
    <x v="1"/>
    <s v="UPI"/>
    <n v="2024"/>
    <n v="6"/>
    <s v="0.2541655361763646"/>
    <x v="3"/>
    <n v="2024"/>
    <x v="78"/>
    <n v="148165.79999999999"/>
  </r>
  <r>
    <s v="ORD094"/>
    <d v="2024-01-03T00:00:00"/>
    <x v="3"/>
    <s v="Mouse"/>
    <x v="0"/>
    <n v="3"/>
    <n v="14738"/>
    <n v="15"/>
    <n v="37581.9"/>
    <n v="2926.82"/>
    <x v="1"/>
    <s v="UPI"/>
    <n v="2024"/>
    <n v="1"/>
    <n v="7.7878446805510093E-2"/>
    <x v="4"/>
    <n v="2024"/>
    <x v="79"/>
    <n v="37581.9"/>
  </r>
  <r>
    <s v="ORD095"/>
    <d v="2024-04-26T00:00:00"/>
    <x v="14"/>
    <s v="Keyboard"/>
    <x v="0"/>
    <n v="2"/>
    <n v="12939"/>
    <n v="0"/>
    <n v="25878"/>
    <n v="7235.6"/>
    <x v="0"/>
    <s v="UPI"/>
    <n v="2024"/>
    <n v="4"/>
    <s v="0.27960429708632817"/>
    <x v="5"/>
    <n v="2024"/>
    <x v="80"/>
    <n v="258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27540-E84C-CC42-8BBA-EFF7FB03E23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">
  <location ref="E1:F12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1"/>
        <item x="2"/>
        <item x="5"/>
        <item x="0"/>
        <item x="3"/>
        <item x="6"/>
        <item x="8"/>
        <item x="9"/>
        <item x="7"/>
        <item t="default"/>
      </items>
    </pivotField>
    <pivotField showAll="0"/>
    <pivotField showAll="0"/>
    <pivotField dataField="1"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Net Sales Column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C2F59F-5E6C-F44E-A715-6072A94D342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P1:Q4" firstHeaderRow="1" firstDataRow="1" firstDataCol="1"/>
  <pivotFields count="19"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2">
        <item x="72"/>
        <item x="1"/>
        <item x="67"/>
        <item x="45"/>
        <item x="14"/>
        <item x="44"/>
        <item x="12"/>
        <item x="15"/>
        <item x="63"/>
        <item x="50"/>
        <item x="52"/>
        <item x="40"/>
        <item x="54"/>
        <item x="2"/>
        <item x="56"/>
        <item x="24"/>
        <item x="69"/>
        <item x="28"/>
        <item x="16"/>
        <item x="30"/>
        <item x="33"/>
        <item x="73"/>
        <item x="6"/>
        <item x="60"/>
        <item x="36"/>
        <item x="46"/>
        <item x="0"/>
        <item x="41"/>
        <item x="55"/>
        <item x="65"/>
        <item x="77"/>
        <item x="47"/>
        <item x="66"/>
        <item x="49"/>
        <item x="39"/>
        <item x="37"/>
        <item x="53"/>
        <item x="79"/>
        <item x="71"/>
        <item x="34"/>
        <item x="23"/>
        <item x="11"/>
        <item x="20"/>
        <item x="18"/>
        <item x="19"/>
        <item x="43"/>
        <item x="31"/>
        <item x="68"/>
        <item x="29"/>
        <item x="64"/>
        <item x="9"/>
        <item x="27"/>
        <item x="70"/>
        <item x="62"/>
        <item x="32"/>
        <item x="76"/>
        <item x="10"/>
        <item x="59"/>
        <item x="5"/>
        <item x="57"/>
        <item x="74"/>
        <item x="38"/>
        <item x="13"/>
        <item x="48"/>
        <item x="4"/>
        <item x="26"/>
        <item x="17"/>
        <item x="7"/>
        <item x="21"/>
        <item x="78"/>
        <item x="35"/>
        <item x="58"/>
        <item x="75"/>
        <item x="61"/>
        <item x="25"/>
        <item x="22"/>
        <item x="80"/>
        <item x="42"/>
        <item x="3"/>
        <item x="51"/>
        <item x="8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Profit % Column" fld="17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6B10E-7452-6047-B353-DAF81539CA5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ntry">
  <location ref="L1:M6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et Sales Column" fld="1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53A8C-B10A-3941-9288-266D55C724C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ustomer_ID">
  <location ref="H1:I12" firstHeaderRow="1" firstDataRow="1" firstDataCol="1"/>
  <pivotFields count="19">
    <pivotField showAll="0"/>
    <pivotField numFmtId="14" showAll="0"/>
    <pivotField axis="axisRow" showAll="0" measureFilter="1" sortType="descending">
      <items count="20">
        <item x="10"/>
        <item x="2"/>
        <item x="9"/>
        <item x="1"/>
        <item x="11"/>
        <item x="13"/>
        <item x="6"/>
        <item x="18"/>
        <item x="0"/>
        <item x="7"/>
        <item x="5"/>
        <item x="4"/>
        <item x="8"/>
        <item x="3"/>
        <item x="16"/>
        <item x="15"/>
        <item x="14"/>
        <item x="1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3"/>
    </i>
    <i>
      <x v="1"/>
    </i>
    <i>
      <x v="6"/>
    </i>
    <i>
      <x v="4"/>
    </i>
    <i>
      <x v="8"/>
    </i>
    <i>
      <x v="15"/>
    </i>
    <i>
      <x v="17"/>
    </i>
    <i>
      <x v="13"/>
    </i>
    <i>
      <x/>
    </i>
    <i>
      <x v="10"/>
    </i>
    <i t="grand">
      <x/>
    </i>
  </rowItems>
  <colItems count="1">
    <i/>
  </colItems>
  <dataFields count="1">
    <dataField name="Sum of Net Sales Column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056A1-FBBE-4D48-9D0D-1327CA910507}" name="Table1" displayName="Table1" ref="A1:S92" totalsRowShown="0">
  <autoFilter ref="A1:S92" xr:uid="{E77056A1-FBBE-4D48-9D0D-1327CA910507}"/>
  <tableColumns count="19">
    <tableColumn id="1" xr3:uid="{54EC7426-7BE6-1B4A-B360-15D74CBD0125}" name="Order_ID"/>
    <tableColumn id="2" xr3:uid="{7D741095-A52E-504C-85AF-976041D74D22}" name="Order_Date" dataDxfId="5"/>
    <tableColumn id="3" xr3:uid="{CC9F2BA6-864A-DD4F-81A2-88D1A1931934}" name="Customer_ID"/>
    <tableColumn id="4" xr3:uid="{32DA4A0A-99A5-C547-B06D-2084C3B1B595}" name="Product"/>
    <tableColumn id="5" xr3:uid="{9193F24C-28C1-AD43-B9CE-A5D3614C7FCB}" name="Category"/>
    <tableColumn id="6" xr3:uid="{CA6B22A4-A1A9-3146-88C2-2DCDB43E416A}" name="Quantity"/>
    <tableColumn id="7" xr3:uid="{63B6FA45-93C5-6148-8F5A-1C2699F942EF}" name="Unit_Price"/>
    <tableColumn id="8" xr3:uid="{662CAC4F-5CF8-094B-BEB9-D9DF5033C688}" name="Discount_%"/>
    <tableColumn id="9" xr3:uid="{547A0C06-53C5-9141-B20B-8392933B6C78}" name="Sales"/>
    <tableColumn id="10" xr3:uid="{3B536E99-F64F-664B-8AA1-FC21C7D33335}" name="Profit"/>
    <tableColumn id="11" xr3:uid="{47EFC9CE-AED5-2643-9EA7-F28CCBC22597}" name="Country"/>
    <tableColumn id="12" xr3:uid="{88AFBD1B-520D-C245-8131-E3501746F9F2}" name="Payment_Method"/>
    <tableColumn id="13" xr3:uid="{57359085-89F2-5D43-8D44-0B8FA6B04206}" name="Year"/>
    <tableColumn id="14" xr3:uid="{D7395CF1-EBA0-5941-AE45-FE2B232939B3}" name="Month"/>
    <tableColumn id="15" xr3:uid="{E9201859-FF24-DE4D-AAEB-FED042B7892A}" name="Profit_Margin" dataDxfId="4"/>
    <tableColumn id="16" xr3:uid="{91CAF697-5CF8-DA41-B40D-124D62E4EF17}" name="Month Column" dataDxfId="3">
      <calculatedColumnFormula>TEXT(Table1[[#This Row],[Order_Date]],"mmm")</calculatedColumnFormula>
    </tableColumn>
    <tableColumn id="17" xr3:uid="{A3161CF0-3C31-B64D-920C-6788D1DF86C1}" name="Year Column" dataDxfId="2">
      <calculatedColumnFormula>YEAR(Table1[[#This Row],[Order_Date]])</calculatedColumnFormula>
    </tableColumn>
    <tableColumn id="18" xr3:uid="{64E38E21-7F44-3640-BB34-83B42F273AEE}" name="Profit % Column" dataDxfId="1">
      <calculatedColumnFormula>Table1[[#This Row],[Profit]]/Table1[[#This Row],[Sales]]</calculatedColumnFormula>
    </tableColumn>
    <tableColumn id="19" xr3:uid="{AD59E9E1-4E6A-454E-B9E7-74A1F5179D36}" name="Net Sales Column" dataDxfId="0">
      <calculatedColumnFormula>IF(I2&lt;0,0,I2)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D96C-A4D0-F246-9BB7-14758A2322DE}">
  <dimension ref="A1:L101"/>
  <sheetViews>
    <sheetView workbookViewId="0">
      <selection activeCell="N11" sqref="N11"/>
    </sheetView>
  </sheetViews>
  <sheetFormatPr baseColWidth="10" defaultRowHeight="16" x14ac:dyDescent="0.2"/>
  <cols>
    <col min="2" max="2" width="16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s="1">
        <v>45327</v>
      </c>
      <c r="C2" t="s">
        <v>13</v>
      </c>
      <c r="D2" t="s">
        <v>14</v>
      </c>
      <c r="E2" t="s">
        <v>15</v>
      </c>
      <c r="F2">
        <v>-1</v>
      </c>
      <c r="G2">
        <v>2139</v>
      </c>
      <c r="H2">
        <v>10</v>
      </c>
      <c r="I2">
        <v>-1925.1</v>
      </c>
      <c r="J2">
        <v>3.93</v>
      </c>
      <c r="K2" t="s">
        <v>16</v>
      </c>
      <c r="L2" t="s">
        <v>17</v>
      </c>
    </row>
    <row r="3" spans="1:12" x14ac:dyDescent="0.2">
      <c r="A3" t="s">
        <v>18</v>
      </c>
      <c r="B3" s="1">
        <v>45342</v>
      </c>
      <c r="C3" t="s">
        <v>13</v>
      </c>
      <c r="D3" t="s">
        <v>19</v>
      </c>
      <c r="E3" t="s">
        <v>20</v>
      </c>
      <c r="F3">
        <v>1</v>
      </c>
      <c r="G3">
        <v>33618</v>
      </c>
      <c r="H3">
        <v>20</v>
      </c>
      <c r="I3">
        <v>26894.400000000001</v>
      </c>
      <c r="J3">
        <v>-2403.9699999999998</v>
      </c>
      <c r="K3" t="s">
        <v>21</v>
      </c>
      <c r="L3" t="s">
        <v>17</v>
      </c>
    </row>
    <row r="4" spans="1:12" x14ac:dyDescent="0.2">
      <c r="A4" t="s">
        <v>22</v>
      </c>
      <c r="B4" s="1">
        <v>45378</v>
      </c>
      <c r="C4" t="s">
        <v>23</v>
      </c>
      <c r="D4" t="s">
        <v>19</v>
      </c>
      <c r="E4" t="s">
        <v>20</v>
      </c>
      <c r="F4">
        <v>4</v>
      </c>
      <c r="G4">
        <v>22798</v>
      </c>
      <c r="H4">
        <v>10</v>
      </c>
      <c r="I4">
        <v>82072.800000000003</v>
      </c>
      <c r="J4">
        <v>-3103.02</v>
      </c>
      <c r="K4" t="s">
        <v>21</v>
      </c>
      <c r="L4" t="s">
        <v>17</v>
      </c>
    </row>
    <row r="5" spans="1:12" x14ac:dyDescent="0.2">
      <c r="A5" t="s">
        <v>24</v>
      </c>
      <c r="B5" s="1">
        <v>45388</v>
      </c>
      <c r="C5" t="s">
        <v>25</v>
      </c>
      <c r="D5" t="s">
        <v>14</v>
      </c>
      <c r="E5" t="s">
        <v>15</v>
      </c>
      <c r="F5">
        <v>5</v>
      </c>
      <c r="G5">
        <v>35642</v>
      </c>
      <c r="H5">
        <v>0</v>
      </c>
      <c r="I5">
        <v>178210</v>
      </c>
      <c r="J5">
        <v>51546.58</v>
      </c>
      <c r="K5" t="s">
        <v>21</v>
      </c>
      <c r="L5" t="s">
        <v>26</v>
      </c>
    </row>
    <row r="6" spans="1:12" x14ac:dyDescent="0.2">
      <c r="A6" t="s">
        <v>27</v>
      </c>
      <c r="B6" s="1">
        <v>45312</v>
      </c>
      <c r="C6" t="s">
        <v>28</v>
      </c>
      <c r="D6" t="s">
        <v>14</v>
      </c>
      <c r="E6" t="s">
        <v>15</v>
      </c>
      <c r="F6">
        <v>-1</v>
      </c>
      <c r="G6">
        <v>3503</v>
      </c>
      <c r="H6">
        <v>5</v>
      </c>
      <c r="I6">
        <v>-3327.85</v>
      </c>
      <c r="J6">
        <v>-696.28</v>
      </c>
      <c r="K6" t="s">
        <v>21</v>
      </c>
      <c r="L6" t="s">
        <v>26</v>
      </c>
    </row>
    <row r="7" spans="1:12" x14ac:dyDescent="0.2">
      <c r="A7" t="s">
        <v>29</v>
      </c>
      <c r="B7" s="1">
        <v>45466</v>
      </c>
      <c r="C7" t="s">
        <v>30</v>
      </c>
      <c r="D7" t="s">
        <v>31</v>
      </c>
      <c r="E7" t="s">
        <v>15</v>
      </c>
      <c r="F7">
        <v>3</v>
      </c>
      <c r="G7">
        <v>14230</v>
      </c>
      <c r="H7">
        <v>10</v>
      </c>
      <c r="I7">
        <v>38421</v>
      </c>
      <c r="J7">
        <v>6943.76</v>
      </c>
      <c r="K7" t="s">
        <v>32</v>
      </c>
      <c r="L7" t="s">
        <v>26</v>
      </c>
    </row>
    <row r="8" spans="1:12" x14ac:dyDescent="0.2">
      <c r="A8" t="s">
        <v>33</v>
      </c>
      <c r="B8" s="1">
        <v>45375</v>
      </c>
      <c r="C8" t="s">
        <v>34</v>
      </c>
      <c r="D8" t="s">
        <v>35</v>
      </c>
      <c r="E8" t="s">
        <v>15</v>
      </c>
      <c r="G8">
        <v>18191</v>
      </c>
      <c r="H8">
        <v>20</v>
      </c>
      <c r="I8">
        <v>58211.199999999997</v>
      </c>
      <c r="J8">
        <v>-707.49</v>
      </c>
      <c r="K8" t="s">
        <v>21</v>
      </c>
      <c r="L8" t="s">
        <v>36</v>
      </c>
    </row>
    <row r="9" spans="1:12" x14ac:dyDescent="0.2">
      <c r="A9" t="s">
        <v>37</v>
      </c>
      <c r="B9" s="1">
        <v>45372</v>
      </c>
      <c r="C9" t="s">
        <v>38</v>
      </c>
      <c r="D9" t="s">
        <v>31</v>
      </c>
      <c r="E9" t="s">
        <v>15</v>
      </c>
      <c r="F9">
        <v>-1</v>
      </c>
      <c r="G9">
        <v>14326</v>
      </c>
      <c r="H9">
        <v>20</v>
      </c>
      <c r="I9">
        <v>-11460.8</v>
      </c>
      <c r="J9">
        <v>-2871.47</v>
      </c>
      <c r="K9" t="s">
        <v>39</v>
      </c>
      <c r="L9" t="s">
        <v>26</v>
      </c>
    </row>
    <row r="10" spans="1:12" x14ac:dyDescent="0.2">
      <c r="A10" t="s">
        <v>40</v>
      </c>
      <c r="B10" s="1">
        <v>45441</v>
      </c>
      <c r="C10" t="s">
        <v>41</v>
      </c>
      <c r="D10" t="s">
        <v>31</v>
      </c>
      <c r="E10" t="s">
        <v>15</v>
      </c>
      <c r="F10">
        <v>0</v>
      </c>
      <c r="G10">
        <v>16662</v>
      </c>
      <c r="H10">
        <v>20</v>
      </c>
      <c r="I10">
        <v>0</v>
      </c>
      <c r="J10">
        <v>0</v>
      </c>
      <c r="K10" t="s">
        <v>32</v>
      </c>
      <c r="L10" t="s">
        <v>36</v>
      </c>
    </row>
    <row r="11" spans="1:12" x14ac:dyDescent="0.2">
      <c r="A11" t="s">
        <v>42</v>
      </c>
      <c r="B11" s="1">
        <v>45466</v>
      </c>
      <c r="C11" t="s">
        <v>43</v>
      </c>
      <c r="D11" t="s">
        <v>44</v>
      </c>
      <c r="E11" t="s">
        <v>20</v>
      </c>
      <c r="F11">
        <v>-2</v>
      </c>
      <c r="G11">
        <v>7685</v>
      </c>
      <c r="H11">
        <v>5</v>
      </c>
      <c r="I11">
        <v>-14601.5</v>
      </c>
      <c r="J11">
        <v>-2204.5100000000002</v>
      </c>
      <c r="K11" t="s">
        <v>39</v>
      </c>
      <c r="L11" t="s">
        <v>45</v>
      </c>
    </row>
    <row r="12" spans="1:12" x14ac:dyDescent="0.2">
      <c r="A12" t="s">
        <v>46</v>
      </c>
      <c r="B12" s="1">
        <v>45429</v>
      </c>
      <c r="C12" t="s">
        <v>47</v>
      </c>
      <c r="D12" t="s">
        <v>48</v>
      </c>
      <c r="E12" t="s">
        <v>20</v>
      </c>
      <c r="F12">
        <v>-2</v>
      </c>
      <c r="G12">
        <v>45083</v>
      </c>
      <c r="H12">
        <v>0</v>
      </c>
      <c r="I12">
        <v>-90166</v>
      </c>
      <c r="J12">
        <v>-15570.24</v>
      </c>
      <c r="K12" t="s">
        <v>39</v>
      </c>
      <c r="L12" t="s">
        <v>17</v>
      </c>
    </row>
    <row r="13" spans="1:12" x14ac:dyDescent="0.2">
      <c r="A13" t="s">
        <v>49</v>
      </c>
      <c r="B13" s="1">
        <v>45319</v>
      </c>
      <c r="C13" t="s">
        <v>25</v>
      </c>
      <c r="D13" t="s">
        <v>14</v>
      </c>
      <c r="E13" t="s">
        <v>15</v>
      </c>
      <c r="F13">
        <v>2</v>
      </c>
      <c r="G13">
        <v>33306</v>
      </c>
      <c r="H13">
        <v>5</v>
      </c>
      <c r="I13">
        <v>63281.4</v>
      </c>
      <c r="J13">
        <v>6522.58</v>
      </c>
      <c r="K13" t="s">
        <v>32</v>
      </c>
      <c r="L13" t="s">
        <v>26</v>
      </c>
    </row>
    <row r="14" spans="1:12" x14ac:dyDescent="0.2">
      <c r="A14" t="s">
        <v>50</v>
      </c>
      <c r="B14" s="1">
        <v>45445</v>
      </c>
      <c r="C14" t="s">
        <v>51</v>
      </c>
      <c r="D14" t="s">
        <v>31</v>
      </c>
      <c r="E14" t="s">
        <v>15</v>
      </c>
      <c r="F14">
        <v>0</v>
      </c>
      <c r="G14">
        <v>35848</v>
      </c>
      <c r="H14">
        <v>20</v>
      </c>
      <c r="I14">
        <v>0</v>
      </c>
      <c r="J14">
        <v>0</v>
      </c>
      <c r="K14" t="s">
        <v>21</v>
      </c>
      <c r="L14" t="s">
        <v>26</v>
      </c>
    </row>
    <row r="15" spans="1:12" x14ac:dyDescent="0.2">
      <c r="A15" t="s">
        <v>52</v>
      </c>
      <c r="B15" s="1">
        <v>45416</v>
      </c>
      <c r="C15" t="s">
        <v>13</v>
      </c>
      <c r="D15" t="s">
        <v>44</v>
      </c>
      <c r="E15" t="s">
        <v>20</v>
      </c>
      <c r="F15">
        <v>1</v>
      </c>
      <c r="G15">
        <v>37682</v>
      </c>
      <c r="H15">
        <v>0</v>
      </c>
      <c r="I15">
        <v>37682</v>
      </c>
      <c r="J15">
        <v>-2477.16</v>
      </c>
      <c r="K15" t="s">
        <v>39</v>
      </c>
      <c r="L15" t="s">
        <v>26</v>
      </c>
    </row>
    <row r="16" spans="1:12" x14ac:dyDescent="0.2">
      <c r="A16" t="s">
        <v>53</v>
      </c>
      <c r="B16" s="1">
        <v>45468</v>
      </c>
      <c r="C16" t="s">
        <v>25</v>
      </c>
      <c r="D16" t="s">
        <v>31</v>
      </c>
      <c r="E16" t="s">
        <v>15</v>
      </c>
      <c r="F16">
        <v>4</v>
      </c>
      <c r="G16">
        <v>14380</v>
      </c>
      <c r="H16">
        <v>20</v>
      </c>
      <c r="I16">
        <v>46016</v>
      </c>
      <c r="J16">
        <v>9300.11</v>
      </c>
      <c r="K16" t="s">
        <v>21</v>
      </c>
      <c r="L16" t="s">
        <v>36</v>
      </c>
    </row>
    <row r="17" spans="1:12" x14ac:dyDescent="0.2">
      <c r="A17" t="s">
        <v>54</v>
      </c>
      <c r="B17" t="s">
        <v>55</v>
      </c>
      <c r="C17" t="s">
        <v>13</v>
      </c>
      <c r="D17" t="s">
        <v>48</v>
      </c>
      <c r="E17" t="s">
        <v>20</v>
      </c>
      <c r="F17">
        <v>5</v>
      </c>
      <c r="G17">
        <v>8430</v>
      </c>
      <c r="H17">
        <v>5</v>
      </c>
      <c r="I17">
        <v>40042.5</v>
      </c>
      <c r="J17">
        <v>-405.27</v>
      </c>
      <c r="K17" t="s">
        <v>16</v>
      </c>
      <c r="L17" t="s">
        <v>17</v>
      </c>
    </row>
    <row r="18" spans="1:12" x14ac:dyDescent="0.2">
      <c r="A18" t="s">
        <v>56</v>
      </c>
      <c r="B18" s="1">
        <v>45352</v>
      </c>
      <c r="C18" t="s">
        <v>38</v>
      </c>
      <c r="D18" t="s">
        <v>19</v>
      </c>
      <c r="E18" t="s">
        <v>20</v>
      </c>
      <c r="F18">
        <v>-1</v>
      </c>
      <c r="G18">
        <v>2558</v>
      </c>
      <c r="H18">
        <v>10</v>
      </c>
      <c r="I18">
        <v>-2302.1999999999998</v>
      </c>
      <c r="J18">
        <v>164.97</v>
      </c>
      <c r="K18" t="s">
        <v>39</v>
      </c>
      <c r="L18" t="s">
        <v>26</v>
      </c>
    </row>
    <row r="19" spans="1:12" x14ac:dyDescent="0.2">
      <c r="A19" t="s">
        <v>57</v>
      </c>
      <c r="B19" s="1">
        <v>45402</v>
      </c>
      <c r="C19" t="s">
        <v>58</v>
      </c>
      <c r="D19" t="s">
        <v>35</v>
      </c>
      <c r="E19" t="s">
        <v>15</v>
      </c>
      <c r="F19">
        <v>4</v>
      </c>
      <c r="G19">
        <v>12978</v>
      </c>
      <c r="H19">
        <v>0</v>
      </c>
      <c r="I19">
        <v>51912</v>
      </c>
      <c r="J19">
        <v>-3178.45</v>
      </c>
      <c r="K19" t="s">
        <v>16</v>
      </c>
      <c r="L19" t="s">
        <v>17</v>
      </c>
    </row>
    <row r="20" spans="1:12" x14ac:dyDescent="0.2">
      <c r="A20" t="s">
        <v>59</v>
      </c>
      <c r="B20" s="1">
        <v>45429</v>
      </c>
      <c r="C20" t="s">
        <v>58</v>
      </c>
      <c r="D20" t="s">
        <v>35</v>
      </c>
      <c r="E20" t="s">
        <v>15</v>
      </c>
      <c r="F20">
        <v>3</v>
      </c>
      <c r="G20">
        <v>7661</v>
      </c>
      <c r="H20">
        <v>5</v>
      </c>
      <c r="I20">
        <v>21833.85</v>
      </c>
      <c r="J20">
        <v>-510.13</v>
      </c>
      <c r="K20" t="s">
        <v>16</v>
      </c>
      <c r="L20" t="s">
        <v>36</v>
      </c>
    </row>
    <row r="21" spans="1:12" x14ac:dyDescent="0.2">
      <c r="A21" t="s">
        <v>60</v>
      </c>
      <c r="B21" s="1">
        <v>45315</v>
      </c>
      <c r="C21" t="s">
        <v>61</v>
      </c>
      <c r="D21" t="s">
        <v>48</v>
      </c>
      <c r="E21" t="s">
        <v>20</v>
      </c>
      <c r="F21">
        <v>-1</v>
      </c>
      <c r="G21">
        <v>3815</v>
      </c>
      <c r="H21">
        <v>20</v>
      </c>
      <c r="I21">
        <v>-3052</v>
      </c>
      <c r="J21">
        <v>-715.42</v>
      </c>
      <c r="K21" t="s">
        <v>32</v>
      </c>
      <c r="L21" t="s">
        <v>36</v>
      </c>
    </row>
    <row r="22" spans="1:12" x14ac:dyDescent="0.2">
      <c r="A22" t="s">
        <v>62</v>
      </c>
      <c r="B22" s="1">
        <v>45359</v>
      </c>
      <c r="C22" t="s">
        <v>63</v>
      </c>
      <c r="D22" t="s">
        <v>44</v>
      </c>
      <c r="E22" t="s">
        <v>20</v>
      </c>
      <c r="F22">
        <v>0</v>
      </c>
      <c r="G22">
        <v>25336</v>
      </c>
      <c r="H22">
        <v>0</v>
      </c>
      <c r="I22">
        <v>0</v>
      </c>
      <c r="J22">
        <v>0</v>
      </c>
      <c r="K22" t="s">
        <v>39</v>
      </c>
      <c r="L22" t="s">
        <v>26</v>
      </c>
    </row>
    <row r="23" spans="1:12" x14ac:dyDescent="0.2">
      <c r="A23" t="s">
        <v>64</v>
      </c>
      <c r="B23" s="1">
        <v>45430</v>
      </c>
      <c r="C23" t="s">
        <v>47</v>
      </c>
      <c r="D23" t="s">
        <v>19</v>
      </c>
      <c r="E23" t="s">
        <v>20</v>
      </c>
      <c r="F23">
        <v>2</v>
      </c>
      <c r="G23">
        <v>14767</v>
      </c>
      <c r="H23">
        <v>0</v>
      </c>
      <c r="I23">
        <v>29534</v>
      </c>
      <c r="J23">
        <v>3888.8</v>
      </c>
      <c r="K23" t="s">
        <v>32</v>
      </c>
      <c r="L23" t="s">
        <v>17</v>
      </c>
    </row>
    <row r="24" spans="1:12" x14ac:dyDescent="0.2">
      <c r="A24" t="s">
        <v>65</v>
      </c>
      <c r="B24" s="1">
        <v>45464</v>
      </c>
      <c r="C24" t="s">
        <v>23</v>
      </c>
      <c r="D24" t="s">
        <v>48</v>
      </c>
      <c r="E24" t="s">
        <v>20</v>
      </c>
      <c r="F24">
        <v>-1</v>
      </c>
      <c r="G24">
        <v>12678</v>
      </c>
      <c r="H24">
        <v>0</v>
      </c>
      <c r="I24">
        <v>-12678</v>
      </c>
      <c r="J24">
        <v>-1749.74</v>
      </c>
      <c r="K24" t="s">
        <v>32</v>
      </c>
      <c r="L24" t="s">
        <v>17</v>
      </c>
    </row>
    <row r="25" spans="1:12" x14ac:dyDescent="0.2">
      <c r="A25" t="s">
        <v>66</v>
      </c>
      <c r="B25" s="1">
        <v>45372</v>
      </c>
      <c r="C25" t="s">
        <v>67</v>
      </c>
      <c r="D25" t="s">
        <v>48</v>
      </c>
      <c r="E25" t="s">
        <v>20</v>
      </c>
      <c r="F25">
        <v>-1</v>
      </c>
      <c r="G25">
        <v>27974</v>
      </c>
      <c r="H25">
        <v>20</v>
      </c>
      <c r="I25">
        <v>-22379.200000000001</v>
      </c>
      <c r="J25">
        <v>-2821.81</v>
      </c>
      <c r="K25" t="s">
        <v>21</v>
      </c>
      <c r="L25" t="s">
        <v>36</v>
      </c>
    </row>
    <row r="26" spans="1:12" x14ac:dyDescent="0.2">
      <c r="A26" t="s">
        <v>68</v>
      </c>
      <c r="B26" t="s">
        <v>55</v>
      </c>
      <c r="C26" t="s">
        <v>30</v>
      </c>
      <c r="D26" t="s">
        <v>19</v>
      </c>
      <c r="E26" t="s">
        <v>20</v>
      </c>
      <c r="F26">
        <v>2</v>
      </c>
      <c r="G26">
        <v>30464</v>
      </c>
      <c r="H26">
        <v>10</v>
      </c>
      <c r="I26">
        <v>54835.199999999997</v>
      </c>
      <c r="J26">
        <v>14893.64</v>
      </c>
      <c r="K26" t="s">
        <v>16</v>
      </c>
      <c r="L26" t="s">
        <v>26</v>
      </c>
    </row>
    <row r="27" spans="1:12" x14ac:dyDescent="0.2">
      <c r="A27" t="s">
        <v>69</v>
      </c>
      <c r="B27" s="1">
        <v>45354</v>
      </c>
      <c r="C27" t="s">
        <v>70</v>
      </c>
      <c r="D27" t="s">
        <v>48</v>
      </c>
      <c r="E27" t="s">
        <v>20</v>
      </c>
      <c r="F27">
        <v>2</v>
      </c>
      <c r="G27">
        <v>9180</v>
      </c>
      <c r="H27">
        <v>10</v>
      </c>
      <c r="I27">
        <v>16524</v>
      </c>
      <c r="J27">
        <v>4169.76</v>
      </c>
      <c r="K27" t="s">
        <v>21</v>
      </c>
      <c r="L27" t="s">
        <v>17</v>
      </c>
    </row>
    <row r="28" spans="1:12" x14ac:dyDescent="0.2">
      <c r="A28" t="s">
        <v>71</v>
      </c>
      <c r="B28" s="1">
        <v>45326</v>
      </c>
      <c r="C28" t="s">
        <v>28</v>
      </c>
      <c r="D28" t="s">
        <v>14</v>
      </c>
      <c r="E28" t="s">
        <v>15</v>
      </c>
      <c r="F28">
        <v>2</v>
      </c>
      <c r="G28">
        <v>43975</v>
      </c>
      <c r="H28">
        <v>0</v>
      </c>
      <c r="I28">
        <v>87950</v>
      </c>
      <c r="J28">
        <v>24236.560000000001</v>
      </c>
      <c r="K28" t="s">
        <v>21</v>
      </c>
      <c r="L28" t="s">
        <v>26</v>
      </c>
    </row>
    <row r="29" spans="1:12" x14ac:dyDescent="0.2">
      <c r="A29" t="s">
        <v>72</v>
      </c>
      <c r="B29" s="1">
        <v>45356</v>
      </c>
      <c r="C29" t="s">
        <v>34</v>
      </c>
      <c r="D29" t="s">
        <v>14</v>
      </c>
      <c r="E29" t="s">
        <v>15</v>
      </c>
      <c r="F29">
        <v>3</v>
      </c>
      <c r="G29">
        <v>13842</v>
      </c>
      <c r="H29">
        <v>10</v>
      </c>
      <c r="I29">
        <v>37373.4</v>
      </c>
      <c r="J29">
        <v>3818.2</v>
      </c>
      <c r="K29" t="s">
        <v>21</v>
      </c>
      <c r="L29" t="s">
        <v>17</v>
      </c>
    </row>
    <row r="30" spans="1:12" x14ac:dyDescent="0.2">
      <c r="A30" t="s">
        <v>73</v>
      </c>
      <c r="B30" s="1">
        <v>45405</v>
      </c>
      <c r="C30" t="s">
        <v>58</v>
      </c>
      <c r="D30" t="s">
        <v>44</v>
      </c>
      <c r="E30" t="s">
        <v>20</v>
      </c>
      <c r="F30">
        <v>3</v>
      </c>
      <c r="G30">
        <v>9073</v>
      </c>
      <c r="H30">
        <v>10</v>
      </c>
      <c r="I30">
        <v>24497.1</v>
      </c>
      <c r="J30">
        <v>-866.39</v>
      </c>
      <c r="K30" t="s">
        <v>32</v>
      </c>
      <c r="L30" t="s">
        <v>17</v>
      </c>
    </row>
    <row r="31" spans="1:12" x14ac:dyDescent="0.2">
      <c r="A31" t="s">
        <v>74</v>
      </c>
      <c r="B31" s="1">
        <v>45385</v>
      </c>
      <c r="C31" t="s">
        <v>34</v>
      </c>
      <c r="D31" t="s">
        <v>31</v>
      </c>
      <c r="E31" t="s">
        <v>15</v>
      </c>
      <c r="F31">
        <v>0</v>
      </c>
      <c r="G31">
        <v>28666</v>
      </c>
      <c r="H31">
        <v>5</v>
      </c>
      <c r="I31">
        <v>0</v>
      </c>
      <c r="J31">
        <v>0</v>
      </c>
      <c r="K31" t="s">
        <v>32</v>
      </c>
      <c r="L31" t="s">
        <v>17</v>
      </c>
    </row>
    <row r="32" spans="1:12" x14ac:dyDescent="0.2">
      <c r="A32" t="s">
        <v>75</v>
      </c>
      <c r="B32" s="1">
        <v>45352</v>
      </c>
      <c r="C32" t="s">
        <v>70</v>
      </c>
      <c r="D32" t="s">
        <v>31</v>
      </c>
      <c r="E32" t="s">
        <v>15</v>
      </c>
      <c r="G32">
        <v>41175</v>
      </c>
      <c r="H32">
        <v>5</v>
      </c>
      <c r="I32">
        <v>156465</v>
      </c>
      <c r="J32">
        <v>42293.35</v>
      </c>
      <c r="K32" t="s">
        <v>21</v>
      </c>
      <c r="L32" t="s">
        <v>36</v>
      </c>
    </row>
    <row r="33" spans="1:12" x14ac:dyDescent="0.2">
      <c r="A33" t="s">
        <v>76</v>
      </c>
      <c r="B33" s="1">
        <v>45319</v>
      </c>
      <c r="C33" t="s">
        <v>34</v>
      </c>
      <c r="D33" t="s">
        <v>14</v>
      </c>
      <c r="E33" t="s">
        <v>15</v>
      </c>
      <c r="F33">
        <v>1</v>
      </c>
      <c r="G33">
        <v>17985</v>
      </c>
      <c r="H33">
        <v>5</v>
      </c>
      <c r="I33">
        <v>17085.75</v>
      </c>
      <c r="J33">
        <v>3672.58</v>
      </c>
      <c r="K33" t="s">
        <v>39</v>
      </c>
      <c r="L33" t="s">
        <v>45</v>
      </c>
    </row>
    <row r="34" spans="1:12" x14ac:dyDescent="0.2">
      <c r="A34" t="s">
        <v>77</v>
      </c>
      <c r="B34" s="1">
        <v>45394</v>
      </c>
      <c r="C34" t="s">
        <v>43</v>
      </c>
      <c r="D34" t="s">
        <v>31</v>
      </c>
      <c r="E34" t="s">
        <v>15</v>
      </c>
      <c r="F34">
        <v>1</v>
      </c>
      <c r="G34">
        <v>15109</v>
      </c>
      <c r="H34">
        <v>0</v>
      </c>
      <c r="I34">
        <v>15109</v>
      </c>
      <c r="J34">
        <v>2478.08</v>
      </c>
      <c r="K34" t="s">
        <v>39</v>
      </c>
      <c r="L34" t="s">
        <v>45</v>
      </c>
    </row>
    <row r="35" spans="1:12" x14ac:dyDescent="0.2">
      <c r="A35" t="s">
        <v>78</v>
      </c>
      <c r="B35" t="s">
        <v>55</v>
      </c>
      <c r="C35" t="s">
        <v>30</v>
      </c>
      <c r="D35" t="s">
        <v>44</v>
      </c>
      <c r="E35" t="s">
        <v>20</v>
      </c>
      <c r="F35">
        <v>-1</v>
      </c>
      <c r="G35">
        <v>17618</v>
      </c>
      <c r="H35">
        <v>5</v>
      </c>
      <c r="I35">
        <v>-16737.099999999999</v>
      </c>
      <c r="J35">
        <v>-2213.25</v>
      </c>
      <c r="K35" t="s">
        <v>21</v>
      </c>
      <c r="L35" t="s">
        <v>36</v>
      </c>
    </row>
    <row r="36" spans="1:12" x14ac:dyDescent="0.2">
      <c r="A36" t="s">
        <v>79</v>
      </c>
      <c r="B36" s="1">
        <v>45303</v>
      </c>
      <c r="C36" t="s">
        <v>51</v>
      </c>
      <c r="D36" t="s">
        <v>48</v>
      </c>
      <c r="E36" t="s">
        <v>20</v>
      </c>
      <c r="F36">
        <v>-1</v>
      </c>
      <c r="G36">
        <v>25744</v>
      </c>
      <c r="H36">
        <v>20</v>
      </c>
      <c r="I36">
        <v>-20595.2</v>
      </c>
      <c r="J36">
        <v>493.64</v>
      </c>
      <c r="K36" t="s">
        <v>32</v>
      </c>
      <c r="L36" t="s">
        <v>45</v>
      </c>
    </row>
    <row r="37" spans="1:12" x14ac:dyDescent="0.2">
      <c r="A37" t="s">
        <v>80</v>
      </c>
      <c r="B37" s="1">
        <v>45461</v>
      </c>
      <c r="C37" t="s">
        <v>25</v>
      </c>
      <c r="D37" t="s">
        <v>35</v>
      </c>
      <c r="E37" t="s">
        <v>15</v>
      </c>
      <c r="F37">
        <v>-1</v>
      </c>
      <c r="G37">
        <v>44031</v>
      </c>
      <c r="H37">
        <v>10</v>
      </c>
      <c r="I37">
        <v>-39627.9</v>
      </c>
      <c r="J37">
        <v>-5914.95</v>
      </c>
      <c r="K37" t="s">
        <v>21</v>
      </c>
      <c r="L37" t="s">
        <v>36</v>
      </c>
    </row>
    <row r="38" spans="1:12" x14ac:dyDescent="0.2">
      <c r="A38" t="s">
        <v>81</v>
      </c>
      <c r="B38" s="1">
        <v>45462</v>
      </c>
      <c r="C38" t="s">
        <v>70</v>
      </c>
      <c r="D38" t="s">
        <v>14</v>
      </c>
      <c r="E38" t="s">
        <v>15</v>
      </c>
      <c r="F38">
        <v>2</v>
      </c>
      <c r="G38">
        <v>36833</v>
      </c>
      <c r="H38">
        <v>5</v>
      </c>
      <c r="I38">
        <v>69982.7</v>
      </c>
      <c r="J38">
        <v>-1628.07</v>
      </c>
      <c r="K38" t="s">
        <v>16</v>
      </c>
      <c r="L38" t="s">
        <v>45</v>
      </c>
    </row>
    <row r="39" spans="1:12" x14ac:dyDescent="0.2">
      <c r="A39" t="s">
        <v>82</v>
      </c>
      <c r="B39" s="1">
        <v>45374</v>
      </c>
      <c r="C39" t="s">
        <v>63</v>
      </c>
      <c r="D39" t="s">
        <v>31</v>
      </c>
      <c r="E39" t="s">
        <v>15</v>
      </c>
      <c r="F39">
        <v>1</v>
      </c>
      <c r="G39">
        <v>28673</v>
      </c>
      <c r="H39">
        <v>20</v>
      </c>
      <c r="I39">
        <v>22938.400000000001</v>
      </c>
      <c r="J39">
        <v>3272.5</v>
      </c>
      <c r="K39" t="s">
        <v>32</v>
      </c>
      <c r="L39" t="s">
        <v>17</v>
      </c>
    </row>
    <row r="40" spans="1:12" x14ac:dyDescent="0.2">
      <c r="A40" t="s">
        <v>83</v>
      </c>
      <c r="B40" s="1">
        <v>45349</v>
      </c>
      <c r="C40" t="s">
        <v>84</v>
      </c>
      <c r="D40" t="s">
        <v>31</v>
      </c>
      <c r="E40" t="s">
        <v>85</v>
      </c>
      <c r="F40">
        <v>3</v>
      </c>
      <c r="G40">
        <v>6620</v>
      </c>
      <c r="H40">
        <v>5</v>
      </c>
      <c r="I40">
        <v>18867</v>
      </c>
      <c r="J40">
        <v>3190.75</v>
      </c>
      <c r="K40" t="s">
        <v>39</v>
      </c>
      <c r="L40" t="s">
        <v>17</v>
      </c>
    </row>
    <row r="41" spans="1:12" x14ac:dyDescent="0.2">
      <c r="A41" t="s">
        <v>86</v>
      </c>
      <c r="B41" s="1">
        <v>45470</v>
      </c>
      <c r="C41" t="s">
        <v>23</v>
      </c>
      <c r="D41" t="s">
        <v>35</v>
      </c>
      <c r="E41" t="s">
        <v>15</v>
      </c>
      <c r="F41">
        <v>4</v>
      </c>
      <c r="G41">
        <v>41772</v>
      </c>
      <c r="H41">
        <v>20</v>
      </c>
      <c r="I41">
        <v>133670.39999999999</v>
      </c>
      <c r="J41">
        <v>-2970.95</v>
      </c>
      <c r="K41" t="s">
        <v>16</v>
      </c>
      <c r="L41" t="s">
        <v>17</v>
      </c>
    </row>
    <row r="42" spans="1:12" x14ac:dyDescent="0.2">
      <c r="A42" t="s">
        <v>87</v>
      </c>
      <c r="B42" s="1">
        <v>45434</v>
      </c>
      <c r="C42" t="s">
        <v>28</v>
      </c>
      <c r="D42" t="s">
        <v>35</v>
      </c>
      <c r="E42" t="s">
        <v>15</v>
      </c>
      <c r="F42">
        <v>1</v>
      </c>
      <c r="G42">
        <v>12026</v>
      </c>
      <c r="H42">
        <v>20</v>
      </c>
      <c r="I42">
        <v>9620.7999999999993</v>
      </c>
      <c r="J42">
        <v>825.66</v>
      </c>
      <c r="K42" t="s">
        <v>21</v>
      </c>
      <c r="L42" t="s">
        <v>36</v>
      </c>
    </row>
    <row r="43" spans="1:12" x14ac:dyDescent="0.2">
      <c r="A43" t="s">
        <v>88</v>
      </c>
      <c r="B43" s="1">
        <v>45413</v>
      </c>
      <c r="C43" t="s">
        <v>61</v>
      </c>
      <c r="D43" t="s">
        <v>48</v>
      </c>
      <c r="E43" t="s">
        <v>20</v>
      </c>
      <c r="F43">
        <v>4</v>
      </c>
      <c r="G43">
        <v>36405</v>
      </c>
      <c r="H43">
        <v>15</v>
      </c>
      <c r="I43">
        <v>123777</v>
      </c>
      <c r="J43">
        <v>32043.79</v>
      </c>
      <c r="K43" t="s">
        <v>39</v>
      </c>
      <c r="L43" t="s">
        <v>26</v>
      </c>
    </row>
    <row r="44" spans="1:12" x14ac:dyDescent="0.2">
      <c r="A44" t="s">
        <v>89</v>
      </c>
      <c r="B44" s="1">
        <v>45377</v>
      </c>
      <c r="C44" t="s">
        <v>13</v>
      </c>
      <c r="D44" t="s">
        <v>31</v>
      </c>
      <c r="E44" t="s">
        <v>15</v>
      </c>
      <c r="F44">
        <v>5</v>
      </c>
      <c r="G44">
        <v>5577</v>
      </c>
      <c r="H44">
        <v>10</v>
      </c>
      <c r="I44">
        <v>25096.5</v>
      </c>
      <c r="J44">
        <v>-155.66</v>
      </c>
      <c r="K44" t="s">
        <v>39</v>
      </c>
      <c r="L44" t="s">
        <v>26</v>
      </c>
    </row>
    <row r="45" spans="1:12" x14ac:dyDescent="0.2">
      <c r="A45" t="s">
        <v>90</v>
      </c>
      <c r="B45" s="1">
        <v>45430</v>
      </c>
      <c r="C45" t="s">
        <v>34</v>
      </c>
      <c r="D45" t="s">
        <v>14</v>
      </c>
      <c r="E45" t="s">
        <v>15</v>
      </c>
      <c r="F45">
        <v>1</v>
      </c>
      <c r="G45">
        <v>4709</v>
      </c>
      <c r="H45">
        <v>15</v>
      </c>
      <c r="I45">
        <v>4002.65</v>
      </c>
      <c r="J45">
        <v>252.33</v>
      </c>
      <c r="K45" t="s">
        <v>16</v>
      </c>
      <c r="L45" t="s">
        <v>36</v>
      </c>
    </row>
    <row r="46" spans="1:12" x14ac:dyDescent="0.2">
      <c r="A46" t="s">
        <v>91</v>
      </c>
      <c r="B46" s="1">
        <v>45399</v>
      </c>
      <c r="C46" t="s">
        <v>13</v>
      </c>
      <c r="D46" t="s">
        <v>35</v>
      </c>
      <c r="E46" t="s">
        <v>15</v>
      </c>
      <c r="F46">
        <v>-2</v>
      </c>
      <c r="G46">
        <v>23552</v>
      </c>
      <c r="H46">
        <v>10</v>
      </c>
      <c r="I46">
        <v>-42393.599999999999</v>
      </c>
      <c r="J46">
        <v>-8537.65</v>
      </c>
      <c r="K46" t="s">
        <v>39</v>
      </c>
      <c r="L46" t="s">
        <v>26</v>
      </c>
    </row>
    <row r="47" spans="1:12" x14ac:dyDescent="0.2">
      <c r="A47" t="s">
        <v>92</v>
      </c>
      <c r="B47" s="1">
        <v>45463</v>
      </c>
      <c r="C47" t="s">
        <v>23</v>
      </c>
      <c r="D47" t="s">
        <v>31</v>
      </c>
      <c r="E47" t="s">
        <v>15</v>
      </c>
      <c r="F47">
        <v>4</v>
      </c>
      <c r="G47">
        <v>32327</v>
      </c>
      <c r="H47">
        <v>0</v>
      </c>
      <c r="I47">
        <v>129308</v>
      </c>
      <c r="J47">
        <v>7182.14</v>
      </c>
      <c r="K47" t="s">
        <v>32</v>
      </c>
      <c r="L47" t="s">
        <v>17</v>
      </c>
    </row>
    <row r="48" spans="1:12" x14ac:dyDescent="0.2">
      <c r="A48" t="s">
        <v>93</v>
      </c>
      <c r="B48" s="1">
        <v>45410</v>
      </c>
      <c r="C48" t="s">
        <v>94</v>
      </c>
      <c r="D48" t="s">
        <v>35</v>
      </c>
      <c r="E48" t="s">
        <v>15</v>
      </c>
      <c r="F48">
        <v>-2</v>
      </c>
      <c r="G48">
        <v>6001</v>
      </c>
      <c r="H48">
        <v>15</v>
      </c>
      <c r="I48">
        <v>-10201.700000000001</v>
      </c>
      <c r="J48">
        <v>466.42</v>
      </c>
      <c r="K48" t="s">
        <v>21</v>
      </c>
      <c r="L48" t="s">
        <v>45</v>
      </c>
    </row>
    <row r="49" spans="1:12" x14ac:dyDescent="0.2">
      <c r="A49" t="s">
        <v>95</v>
      </c>
      <c r="B49" s="1">
        <v>45312</v>
      </c>
      <c r="C49" t="s">
        <v>13</v>
      </c>
      <c r="D49" t="s">
        <v>35</v>
      </c>
      <c r="E49" t="s">
        <v>15</v>
      </c>
      <c r="F49">
        <v>2</v>
      </c>
      <c r="G49">
        <v>49783</v>
      </c>
      <c r="H49">
        <v>15</v>
      </c>
      <c r="I49">
        <v>84631.1</v>
      </c>
      <c r="J49">
        <v>76.900000000000006</v>
      </c>
      <c r="K49" t="s">
        <v>32</v>
      </c>
      <c r="L49" t="s">
        <v>17</v>
      </c>
    </row>
    <row r="50" spans="1:12" x14ac:dyDescent="0.2">
      <c r="A50" t="s">
        <v>96</v>
      </c>
      <c r="B50" s="1">
        <v>45343</v>
      </c>
      <c r="C50" t="s">
        <v>30</v>
      </c>
      <c r="D50" t="s">
        <v>14</v>
      </c>
      <c r="E50" t="s">
        <v>15</v>
      </c>
      <c r="F50">
        <v>-2</v>
      </c>
      <c r="G50">
        <v>49929</v>
      </c>
      <c r="H50">
        <v>0</v>
      </c>
      <c r="I50">
        <v>-99858</v>
      </c>
      <c r="J50">
        <v>-27944.73</v>
      </c>
      <c r="K50" t="s">
        <v>16</v>
      </c>
      <c r="L50" t="s">
        <v>26</v>
      </c>
    </row>
    <row r="51" spans="1:12" x14ac:dyDescent="0.2">
      <c r="A51" t="s">
        <v>97</v>
      </c>
      <c r="B51" s="1">
        <v>45321</v>
      </c>
      <c r="C51" t="s">
        <v>70</v>
      </c>
      <c r="D51" t="s">
        <v>35</v>
      </c>
      <c r="E51" t="s">
        <v>15</v>
      </c>
      <c r="F51">
        <v>2</v>
      </c>
      <c r="G51">
        <v>24675</v>
      </c>
      <c r="H51">
        <v>5</v>
      </c>
      <c r="I51">
        <v>46882.5</v>
      </c>
      <c r="J51">
        <v>6674.06</v>
      </c>
      <c r="K51" t="s">
        <v>16</v>
      </c>
      <c r="L51" t="s">
        <v>45</v>
      </c>
    </row>
    <row r="52" spans="1:12" x14ac:dyDescent="0.2">
      <c r="A52" t="s">
        <v>98</v>
      </c>
      <c r="B52" s="1">
        <v>45468</v>
      </c>
      <c r="C52" t="s">
        <v>61</v>
      </c>
      <c r="D52" t="s">
        <v>48</v>
      </c>
      <c r="E52" t="s">
        <v>20</v>
      </c>
      <c r="F52">
        <v>4</v>
      </c>
      <c r="G52">
        <v>26495</v>
      </c>
      <c r="H52">
        <v>5</v>
      </c>
      <c r="I52">
        <v>100681</v>
      </c>
      <c r="J52">
        <v>-7007.54</v>
      </c>
      <c r="K52" t="s">
        <v>16</v>
      </c>
      <c r="L52" t="s">
        <v>17</v>
      </c>
    </row>
    <row r="53" spans="1:12" x14ac:dyDescent="0.2">
      <c r="A53" t="s">
        <v>99</v>
      </c>
      <c r="B53" s="1">
        <v>45457</v>
      </c>
      <c r="C53" t="s">
        <v>58</v>
      </c>
      <c r="D53" t="s">
        <v>31</v>
      </c>
      <c r="E53" t="s">
        <v>15</v>
      </c>
      <c r="F53">
        <v>4</v>
      </c>
      <c r="G53">
        <v>43853</v>
      </c>
      <c r="H53">
        <v>10</v>
      </c>
      <c r="I53">
        <v>157870.79999999999</v>
      </c>
      <c r="J53">
        <v>-11432.58</v>
      </c>
      <c r="K53" t="s">
        <v>21</v>
      </c>
      <c r="L53" t="s">
        <v>36</v>
      </c>
    </row>
    <row r="54" spans="1:12" x14ac:dyDescent="0.2">
      <c r="A54" t="s">
        <v>100</v>
      </c>
      <c r="B54" s="1">
        <v>45458</v>
      </c>
      <c r="C54" t="s">
        <v>13</v>
      </c>
      <c r="D54" t="s">
        <v>14</v>
      </c>
      <c r="E54" t="s">
        <v>15</v>
      </c>
      <c r="F54">
        <v>0</v>
      </c>
      <c r="G54">
        <v>29040</v>
      </c>
      <c r="H54">
        <v>5</v>
      </c>
      <c r="I54">
        <v>0</v>
      </c>
      <c r="J54">
        <v>0</v>
      </c>
      <c r="K54" t="s">
        <v>21</v>
      </c>
      <c r="L54" t="s">
        <v>45</v>
      </c>
    </row>
    <row r="55" spans="1:12" x14ac:dyDescent="0.2">
      <c r="A55" t="s">
        <v>101</v>
      </c>
      <c r="B55" s="1">
        <v>45410</v>
      </c>
      <c r="C55" t="s">
        <v>23</v>
      </c>
      <c r="D55" t="s">
        <v>19</v>
      </c>
      <c r="E55" t="s">
        <v>20</v>
      </c>
      <c r="F55">
        <v>-1</v>
      </c>
      <c r="G55">
        <v>18779</v>
      </c>
      <c r="H55">
        <v>15</v>
      </c>
      <c r="I55">
        <v>-15962.15</v>
      </c>
      <c r="J55">
        <v>39.18</v>
      </c>
      <c r="K55" t="s">
        <v>21</v>
      </c>
      <c r="L55" t="s">
        <v>26</v>
      </c>
    </row>
    <row r="56" spans="1:12" x14ac:dyDescent="0.2">
      <c r="A56" t="s">
        <v>102</v>
      </c>
      <c r="B56" s="1">
        <v>45444</v>
      </c>
      <c r="C56" t="s">
        <v>94</v>
      </c>
      <c r="D56" t="s">
        <v>35</v>
      </c>
      <c r="E56" t="s">
        <v>15</v>
      </c>
      <c r="F56">
        <v>1</v>
      </c>
      <c r="G56">
        <v>23753</v>
      </c>
      <c r="H56">
        <v>10</v>
      </c>
      <c r="I56">
        <v>21377.7</v>
      </c>
      <c r="J56">
        <v>772.49</v>
      </c>
      <c r="K56" t="s">
        <v>32</v>
      </c>
      <c r="L56" t="s">
        <v>17</v>
      </c>
    </row>
    <row r="57" spans="1:12" x14ac:dyDescent="0.2">
      <c r="A57" t="s">
        <v>103</v>
      </c>
      <c r="B57" s="1">
        <v>45468</v>
      </c>
      <c r="C57" t="s">
        <v>38</v>
      </c>
      <c r="D57" t="s">
        <v>19</v>
      </c>
      <c r="E57" t="s">
        <v>20</v>
      </c>
      <c r="G57">
        <v>32519</v>
      </c>
      <c r="H57">
        <v>20</v>
      </c>
      <c r="I57">
        <v>104060.8</v>
      </c>
      <c r="J57">
        <v>21152.01</v>
      </c>
      <c r="K57" t="s">
        <v>21</v>
      </c>
      <c r="L57" t="s">
        <v>26</v>
      </c>
    </row>
    <row r="58" spans="1:12" x14ac:dyDescent="0.2">
      <c r="A58" t="s">
        <v>104</v>
      </c>
      <c r="B58" s="1">
        <v>45433</v>
      </c>
      <c r="C58" t="s">
        <v>58</v>
      </c>
      <c r="D58" t="s">
        <v>35</v>
      </c>
      <c r="E58" t="s">
        <v>15</v>
      </c>
      <c r="F58">
        <v>1</v>
      </c>
      <c r="G58">
        <v>20567</v>
      </c>
      <c r="H58">
        <v>20</v>
      </c>
      <c r="I58">
        <v>16453.599999999999</v>
      </c>
      <c r="J58">
        <v>783.33</v>
      </c>
      <c r="K58" t="s">
        <v>21</v>
      </c>
      <c r="L58" t="s">
        <v>36</v>
      </c>
    </row>
    <row r="59" spans="1:12" x14ac:dyDescent="0.2">
      <c r="A59" t="s">
        <v>105</v>
      </c>
      <c r="B59" s="1">
        <v>45341</v>
      </c>
      <c r="C59" t="s">
        <v>13</v>
      </c>
      <c r="D59" t="s">
        <v>31</v>
      </c>
      <c r="E59" t="s">
        <v>15</v>
      </c>
      <c r="F59">
        <v>2</v>
      </c>
      <c r="G59">
        <v>16975</v>
      </c>
      <c r="H59">
        <v>5</v>
      </c>
      <c r="I59">
        <v>32252.5</v>
      </c>
      <c r="J59">
        <v>-1668.67</v>
      </c>
      <c r="K59" t="s">
        <v>32</v>
      </c>
      <c r="L59" t="s">
        <v>26</v>
      </c>
    </row>
    <row r="60" spans="1:12" x14ac:dyDescent="0.2">
      <c r="A60" t="s">
        <v>106</v>
      </c>
      <c r="B60" s="1">
        <v>45426</v>
      </c>
      <c r="C60" t="s">
        <v>28</v>
      </c>
      <c r="D60" t="s">
        <v>14</v>
      </c>
      <c r="E60" t="s">
        <v>15</v>
      </c>
      <c r="F60">
        <v>5</v>
      </c>
      <c r="G60">
        <v>18620</v>
      </c>
      <c r="H60">
        <v>20</v>
      </c>
      <c r="I60">
        <v>74480</v>
      </c>
      <c r="J60">
        <v>21647.08</v>
      </c>
      <c r="K60" t="s">
        <v>21</v>
      </c>
      <c r="L60" t="s">
        <v>26</v>
      </c>
    </row>
    <row r="61" spans="1:12" x14ac:dyDescent="0.2">
      <c r="A61" t="s">
        <v>107</v>
      </c>
      <c r="B61" s="1">
        <v>45303</v>
      </c>
      <c r="C61" t="s">
        <v>13</v>
      </c>
      <c r="D61" t="s">
        <v>31</v>
      </c>
      <c r="E61" t="s">
        <v>15</v>
      </c>
      <c r="F61">
        <v>-2</v>
      </c>
      <c r="G61">
        <v>46900</v>
      </c>
      <c r="H61">
        <v>20</v>
      </c>
      <c r="I61">
        <v>-75040</v>
      </c>
      <c r="J61">
        <v>3704.49</v>
      </c>
      <c r="K61" t="s">
        <v>39</v>
      </c>
      <c r="L61" t="s">
        <v>17</v>
      </c>
    </row>
    <row r="62" spans="1:12" x14ac:dyDescent="0.2">
      <c r="A62" t="s">
        <v>108</v>
      </c>
      <c r="B62" s="1">
        <v>45339</v>
      </c>
      <c r="C62" t="s">
        <v>94</v>
      </c>
      <c r="D62" t="s">
        <v>44</v>
      </c>
      <c r="E62" t="s">
        <v>20</v>
      </c>
      <c r="F62">
        <v>2</v>
      </c>
      <c r="G62">
        <v>31262</v>
      </c>
      <c r="H62">
        <v>15</v>
      </c>
      <c r="I62">
        <v>53145.4</v>
      </c>
      <c r="J62">
        <v>4049.02</v>
      </c>
      <c r="K62" t="s">
        <v>16</v>
      </c>
      <c r="L62" t="s">
        <v>36</v>
      </c>
    </row>
    <row r="63" spans="1:12" x14ac:dyDescent="0.2">
      <c r="A63" t="s">
        <v>109</v>
      </c>
      <c r="B63" s="1">
        <v>45436</v>
      </c>
      <c r="C63" t="s">
        <v>43</v>
      </c>
      <c r="D63" t="s">
        <v>35</v>
      </c>
      <c r="E63" t="s">
        <v>15</v>
      </c>
      <c r="F63">
        <v>-1</v>
      </c>
      <c r="G63">
        <v>38315</v>
      </c>
      <c r="H63">
        <v>0</v>
      </c>
      <c r="I63">
        <v>-38315</v>
      </c>
      <c r="J63">
        <v>1506.13</v>
      </c>
      <c r="K63" t="s">
        <v>39</v>
      </c>
      <c r="L63" t="s">
        <v>26</v>
      </c>
    </row>
    <row r="64" spans="1:12" x14ac:dyDescent="0.2">
      <c r="A64" t="s">
        <v>110</v>
      </c>
      <c r="B64" s="1">
        <v>45442</v>
      </c>
      <c r="C64" t="s">
        <v>25</v>
      </c>
      <c r="D64" t="s">
        <v>48</v>
      </c>
      <c r="E64" t="s">
        <v>20</v>
      </c>
      <c r="F64">
        <v>4</v>
      </c>
      <c r="G64">
        <v>30024</v>
      </c>
      <c r="H64">
        <v>15</v>
      </c>
      <c r="I64">
        <v>102081.60000000001</v>
      </c>
      <c r="J64">
        <v>1933.55</v>
      </c>
      <c r="K64" t="s">
        <v>16</v>
      </c>
      <c r="L64" t="s">
        <v>26</v>
      </c>
    </row>
    <row r="65" spans="1:12" x14ac:dyDescent="0.2">
      <c r="A65" t="s">
        <v>111</v>
      </c>
      <c r="B65" s="1">
        <v>45336</v>
      </c>
      <c r="C65" t="s">
        <v>70</v>
      </c>
      <c r="D65" t="s">
        <v>14</v>
      </c>
      <c r="E65" t="s">
        <v>85</v>
      </c>
      <c r="F65">
        <v>1</v>
      </c>
      <c r="G65">
        <v>17843</v>
      </c>
      <c r="H65">
        <v>0</v>
      </c>
      <c r="I65">
        <v>17843</v>
      </c>
      <c r="J65">
        <v>-663.35</v>
      </c>
      <c r="K65" t="s">
        <v>39</v>
      </c>
      <c r="L65" t="s">
        <v>45</v>
      </c>
    </row>
    <row r="66" spans="1:12" x14ac:dyDescent="0.2">
      <c r="A66" t="s">
        <v>112</v>
      </c>
      <c r="B66" s="1">
        <v>45408</v>
      </c>
      <c r="C66" t="s">
        <v>61</v>
      </c>
      <c r="D66" t="s">
        <v>44</v>
      </c>
      <c r="E66" t="s">
        <v>20</v>
      </c>
      <c r="F66">
        <v>1</v>
      </c>
      <c r="G66">
        <v>19381</v>
      </c>
      <c r="H66">
        <v>10</v>
      </c>
      <c r="I66">
        <v>17442.900000000001</v>
      </c>
      <c r="J66">
        <v>3160.57</v>
      </c>
      <c r="K66" t="s">
        <v>32</v>
      </c>
      <c r="L66" t="s">
        <v>36</v>
      </c>
    </row>
    <row r="67" spans="1:12" x14ac:dyDescent="0.2">
      <c r="A67" t="s">
        <v>113</v>
      </c>
      <c r="B67" s="1">
        <v>45328</v>
      </c>
      <c r="C67" t="s">
        <v>70</v>
      </c>
      <c r="D67" t="s">
        <v>44</v>
      </c>
      <c r="E67" t="s">
        <v>20</v>
      </c>
      <c r="F67">
        <v>1</v>
      </c>
      <c r="G67">
        <v>42943</v>
      </c>
      <c r="H67">
        <v>5</v>
      </c>
      <c r="I67">
        <v>40795.85</v>
      </c>
      <c r="J67">
        <v>10744.18</v>
      </c>
      <c r="K67" t="s">
        <v>21</v>
      </c>
      <c r="L67" t="s">
        <v>36</v>
      </c>
    </row>
    <row r="68" spans="1:12" x14ac:dyDescent="0.2">
      <c r="A68" t="s">
        <v>114</v>
      </c>
      <c r="B68" s="1">
        <v>45361</v>
      </c>
      <c r="C68" t="s">
        <v>38</v>
      </c>
      <c r="D68" t="s">
        <v>44</v>
      </c>
      <c r="E68" t="s">
        <v>20</v>
      </c>
      <c r="F68">
        <v>5</v>
      </c>
      <c r="G68">
        <v>45633</v>
      </c>
      <c r="H68">
        <v>10</v>
      </c>
      <c r="I68">
        <v>205348.5</v>
      </c>
      <c r="J68">
        <v>36940.86</v>
      </c>
      <c r="K68" t="s">
        <v>39</v>
      </c>
      <c r="L68" t="s">
        <v>45</v>
      </c>
    </row>
    <row r="69" spans="1:12" x14ac:dyDescent="0.2">
      <c r="A69" t="s">
        <v>115</v>
      </c>
      <c r="B69" s="1">
        <v>45464</v>
      </c>
      <c r="C69" t="s">
        <v>41</v>
      </c>
      <c r="D69" t="s">
        <v>48</v>
      </c>
      <c r="E69" t="s">
        <v>20</v>
      </c>
      <c r="G69">
        <v>2195</v>
      </c>
      <c r="H69">
        <v>0</v>
      </c>
      <c r="I69">
        <v>4390</v>
      </c>
      <c r="J69">
        <v>-37.01</v>
      </c>
      <c r="K69" t="s">
        <v>21</v>
      </c>
      <c r="L69" t="s">
        <v>17</v>
      </c>
    </row>
    <row r="70" spans="1:12" x14ac:dyDescent="0.2">
      <c r="A70" t="s">
        <v>116</v>
      </c>
      <c r="B70" s="1">
        <v>45338</v>
      </c>
      <c r="C70" t="s">
        <v>58</v>
      </c>
      <c r="D70" t="s">
        <v>19</v>
      </c>
      <c r="E70" t="s">
        <v>20</v>
      </c>
      <c r="F70">
        <v>5</v>
      </c>
      <c r="G70">
        <v>34510</v>
      </c>
      <c r="H70">
        <v>15</v>
      </c>
      <c r="I70">
        <v>146667.5</v>
      </c>
      <c r="J70">
        <v>39076.49</v>
      </c>
      <c r="K70" t="s">
        <v>16</v>
      </c>
      <c r="L70" t="s">
        <v>36</v>
      </c>
    </row>
    <row r="71" spans="1:12" x14ac:dyDescent="0.2">
      <c r="A71" t="s">
        <v>117</v>
      </c>
      <c r="B71" s="1">
        <v>45333</v>
      </c>
      <c r="C71" t="s">
        <v>38</v>
      </c>
      <c r="D71" t="s">
        <v>31</v>
      </c>
      <c r="E71" t="s">
        <v>15</v>
      </c>
      <c r="F71">
        <v>4</v>
      </c>
      <c r="G71">
        <v>22343</v>
      </c>
      <c r="H71">
        <v>10</v>
      </c>
      <c r="I71">
        <v>80434.8</v>
      </c>
      <c r="J71">
        <v>13517.34</v>
      </c>
      <c r="K71" t="s">
        <v>16</v>
      </c>
      <c r="L71" t="s">
        <v>36</v>
      </c>
    </row>
    <row r="72" spans="1:12" x14ac:dyDescent="0.2">
      <c r="A72" t="s">
        <v>118</v>
      </c>
      <c r="B72" s="1">
        <v>45395</v>
      </c>
      <c r="C72" t="s">
        <v>51</v>
      </c>
      <c r="D72" t="s">
        <v>44</v>
      </c>
      <c r="E72" t="s">
        <v>20</v>
      </c>
      <c r="F72">
        <v>3</v>
      </c>
      <c r="G72">
        <v>17041</v>
      </c>
      <c r="H72">
        <v>10</v>
      </c>
      <c r="I72">
        <v>46010.7</v>
      </c>
      <c r="J72">
        <v>-2467.62</v>
      </c>
      <c r="K72" t="s">
        <v>39</v>
      </c>
      <c r="L72" t="s">
        <v>17</v>
      </c>
    </row>
    <row r="73" spans="1:12" x14ac:dyDescent="0.2">
      <c r="A73" t="s">
        <v>119</v>
      </c>
      <c r="B73" s="1">
        <v>45305</v>
      </c>
      <c r="C73" t="s">
        <v>13</v>
      </c>
      <c r="D73" t="s">
        <v>19</v>
      </c>
      <c r="E73" t="s">
        <v>20</v>
      </c>
      <c r="F73">
        <v>3</v>
      </c>
      <c r="G73">
        <v>41304</v>
      </c>
      <c r="H73">
        <v>15</v>
      </c>
      <c r="I73">
        <v>105325.2</v>
      </c>
      <c r="J73">
        <v>15816</v>
      </c>
      <c r="K73" t="s">
        <v>39</v>
      </c>
      <c r="L73" t="s">
        <v>17</v>
      </c>
    </row>
    <row r="74" spans="1:12" x14ac:dyDescent="0.2">
      <c r="A74" t="s">
        <v>120</v>
      </c>
      <c r="B74" s="1">
        <v>45295</v>
      </c>
      <c r="C74" t="s">
        <v>43</v>
      </c>
      <c r="D74" t="s">
        <v>44</v>
      </c>
      <c r="E74" t="s">
        <v>20</v>
      </c>
      <c r="F74">
        <v>1</v>
      </c>
      <c r="G74">
        <v>47016</v>
      </c>
      <c r="H74">
        <v>5</v>
      </c>
      <c r="I74">
        <v>44665.2</v>
      </c>
      <c r="J74">
        <v>1085.3699999999999</v>
      </c>
      <c r="K74" t="s">
        <v>16</v>
      </c>
      <c r="L74" t="s">
        <v>36</v>
      </c>
    </row>
    <row r="75" spans="1:12" x14ac:dyDescent="0.2">
      <c r="A75" t="s">
        <v>121</v>
      </c>
      <c r="B75" s="1">
        <v>45361</v>
      </c>
      <c r="C75" t="s">
        <v>38</v>
      </c>
      <c r="D75" t="s">
        <v>44</v>
      </c>
      <c r="E75" t="s">
        <v>20</v>
      </c>
      <c r="F75">
        <v>0</v>
      </c>
      <c r="G75">
        <v>33161</v>
      </c>
      <c r="H75">
        <v>10</v>
      </c>
      <c r="I75">
        <v>0</v>
      </c>
      <c r="J75">
        <v>0</v>
      </c>
      <c r="K75" t="s">
        <v>32</v>
      </c>
      <c r="L75" t="s">
        <v>36</v>
      </c>
    </row>
    <row r="76" spans="1:12" x14ac:dyDescent="0.2">
      <c r="A76" t="s">
        <v>122</v>
      </c>
      <c r="B76" s="1">
        <v>45398</v>
      </c>
      <c r="C76" t="s">
        <v>123</v>
      </c>
      <c r="D76" t="s">
        <v>19</v>
      </c>
      <c r="E76" t="s">
        <v>20</v>
      </c>
      <c r="G76">
        <v>5075</v>
      </c>
      <c r="H76">
        <v>10</v>
      </c>
      <c r="I76">
        <v>0</v>
      </c>
      <c r="J76">
        <v>0</v>
      </c>
      <c r="K76" t="s">
        <v>21</v>
      </c>
      <c r="L76" t="s">
        <v>36</v>
      </c>
    </row>
    <row r="77" spans="1:12" x14ac:dyDescent="0.2">
      <c r="A77" t="s">
        <v>124</v>
      </c>
      <c r="B77" s="1">
        <v>45433</v>
      </c>
      <c r="C77" t="s">
        <v>23</v>
      </c>
      <c r="D77" t="s">
        <v>19</v>
      </c>
      <c r="E77" t="s">
        <v>20</v>
      </c>
      <c r="F77">
        <v>5</v>
      </c>
      <c r="G77">
        <v>35796</v>
      </c>
      <c r="H77">
        <v>15</v>
      </c>
      <c r="I77">
        <v>152133</v>
      </c>
      <c r="J77">
        <v>5788.6</v>
      </c>
      <c r="K77" t="s">
        <v>32</v>
      </c>
      <c r="L77" t="s">
        <v>26</v>
      </c>
    </row>
    <row r="78" spans="1:12" x14ac:dyDescent="0.2">
      <c r="A78" t="s">
        <v>125</v>
      </c>
      <c r="B78" s="1">
        <v>45413</v>
      </c>
      <c r="C78" t="s">
        <v>23</v>
      </c>
      <c r="D78" t="s">
        <v>48</v>
      </c>
      <c r="E78" t="s">
        <v>20</v>
      </c>
      <c r="F78">
        <v>4</v>
      </c>
      <c r="G78">
        <v>15806</v>
      </c>
      <c r="H78">
        <v>15</v>
      </c>
      <c r="I78">
        <v>53740.4</v>
      </c>
      <c r="J78">
        <v>-4435.79</v>
      </c>
      <c r="K78" t="s">
        <v>32</v>
      </c>
      <c r="L78" t="s">
        <v>36</v>
      </c>
    </row>
    <row r="79" spans="1:12" x14ac:dyDescent="0.2">
      <c r="A79" t="s">
        <v>126</v>
      </c>
      <c r="B79" s="1">
        <v>45317</v>
      </c>
      <c r="C79" t="s">
        <v>63</v>
      </c>
      <c r="D79" t="s">
        <v>44</v>
      </c>
      <c r="E79" t="s">
        <v>20</v>
      </c>
      <c r="F79">
        <v>0</v>
      </c>
      <c r="G79">
        <v>33418</v>
      </c>
      <c r="H79">
        <v>20</v>
      </c>
      <c r="I79">
        <v>0</v>
      </c>
      <c r="J79">
        <v>0</v>
      </c>
      <c r="K79" t="s">
        <v>16</v>
      </c>
      <c r="L79" t="s">
        <v>26</v>
      </c>
    </row>
    <row r="80" spans="1:12" x14ac:dyDescent="0.2">
      <c r="A80" t="s">
        <v>127</v>
      </c>
      <c r="B80" s="1">
        <v>45359</v>
      </c>
      <c r="C80" t="s">
        <v>23</v>
      </c>
      <c r="D80" t="s">
        <v>35</v>
      </c>
      <c r="E80" t="s">
        <v>15</v>
      </c>
      <c r="F80">
        <v>0</v>
      </c>
      <c r="G80">
        <v>5403</v>
      </c>
      <c r="H80">
        <v>15</v>
      </c>
      <c r="I80">
        <v>0</v>
      </c>
      <c r="J80">
        <v>0</v>
      </c>
      <c r="K80" t="s">
        <v>39</v>
      </c>
      <c r="L80" t="s">
        <v>45</v>
      </c>
    </row>
    <row r="81" spans="1:12" x14ac:dyDescent="0.2">
      <c r="A81" t="s">
        <v>128</v>
      </c>
      <c r="B81" s="1">
        <v>45352</v>
      </c>
      <c r="C81" t="s">
        <v>25</v>
      </c>
      <c r="D81" t="s">
        <v>14</v>
      </c>
      <c r="E81" t="s">
        <v>15</v>
      </c>
      <c r="F81">
        <v>5</v>
      </c>
      <c r="G81">
        <v>35956</v>
      </c>
      <c r="H81">
        <v>0</v>
      </c>
      <c r="I81">
        <v>179780</v>
      </c>
      <c r="J81">
        <v>26424.74</v>
      </c>
      <c r="K81" t="s">
        <v>39</v>
      </c>
      <c r="L81" t="s">
        <v>17</v>
      </c>
    </row>
    <row r="82" spans="1:12" x14ac:dyDescent="0.2">
      <c r="A82" t="s">
        <v>129</v>
      </c>
      <c r="B82" t="s">
        <v>55</v>
      </c>
      <c r="C82" t="s">
        <v>34</v>
      </c>
      <c r="D82" t="s">
        <v>14</v>
      </c>
      <c r="E82" t="s">
        <v>15</v>
      </c>
      <c r="F82">
        <v>-1</v>
      </c>
      <c r="G82">
        <v>29576</v>
      </c>
      <c r="H82">
        <v>5</v>
      </c>
      <c r="I82">
        <v>-28097.200000000001</v>
      </c>
      <c r="J82">
        <v>-4990.08</v>
      </c>
      <c r="K82" t="s">
        <v>32</v>
      </c>
      <c r="L82" t="s">
        <v>26</v>
      </c>
    </row>
    <row r="83" spans="1:12" x14ac:dyDescent="0.2">
      <c r="A83" t="s">
        <v>130</v>
      </c>
      <c r="B83" s="1">
        <v>45312</v>
      </c>
      <c r="C83" t="s">
        <v>23</v>
      </c>
      <c r="D83" t="s">
        <v>48</v>
      </c>
      <c r="E83" t="s">
        <v>20</v>
      </c>
      <c r="F83">
        <v>4</v>
      </c>
      <c r="G83">
        <v>37588</v>
      </c>
      <c r="H83">
        <v>5</v>
      </c>
      <c r="I83">
        <v>142834.4</v>
      </c>
      <c r="J83">
        <v>-4571.63</v>
      </c>
      <c r="K83" t="s">
        <v>32</v>
      </c>
      <c r="L83" t="s">
        <v>26</v>
      </c>
    </row>
    <row r="84" spans="1:12" x14ac:dyDescent="0.2">
      <c r="A84" t="s">
        <v>131</v>
      </c>
      <c r="B84" s="1">
        <v>45411</v>
      </c>
      <c r="C84" t="s">
        <v>13</v>
      </c>
      <c r="D84" t="s">
        <v>35</v>
      </c>
      <c r="E84" t="s">
        <v>15</v>
      </c>
      <c r="F84">
        <v>2</v>
      </c>
      <c r="G84">
        <v>30618</v>
      </c>
      <c r="H84">
        <v>10</v>
      </c>
      <c r="I84">
        <v>55112.4</v>
      </c>
      <c r="J84">
        <v>9189.24</v>
      </c>
      <c r="K84" t="s">
        <v>21</v>
      </c>
      <c r="L84" t="s">
        <v>45</v>
      </c>
    </row>
    <row r="85" spans="1:12" x14ac:dyDescent="0.2">
      <c r="A85" t="s">
        <v>132</v>
      </c>
      <c r="B85" s="1">
        <v>45369</v>
      </c>
      <c r="C85" t="s">
        <v>23</v>
      </c>
      <c r="D85" t="s">
        <v>14</v>
      </c>
      <c r="E85" t="s">
        <v>15</v>
      </c>
      <c r="F85">
        <v>4</v>
      </c>
      <c r="G85">
        <v>45740</v>
      </c>
      <c r="H85">
        <v>10</v>
      </c>
      <c r="I85">
        <v>164664</v>
      </c>
      <c r="J85">
        <v>13623.36</v>
      </c>
      <c r="K85" t="s">
        <v>39</v>
      </c>
      <c r="L85" t="s">
        <v>45</v>
      </c>
    </row>
    <row r="86" spans="1:12" x14ac:dyDescent="0.2">
      <c r="A86" t="s">
        <v>133</v>
      </c>
      <c r="B86" s="1">
        <v>45460</v>
      </c>
      <c r="C86" t="s">
        <v>51</v>
      </c>
      <c r="D86" t="s">
        <v>48</v>
      </c>
      <c r="E86" t="s">
        <v>20</v>
      </c>
      <c r="F86">
        <v>2</v>
      </c>
      <c r="G86">
        <v>46327</v>
      </c>
      <c r="H86">
        <v>10</v>
      </c>
      <c r="I86">
        <v>83388.600000000006</v>
      </c>
      <c r="J86">
        <v>-7607.06</v>
      </c>
      <c r="K86" t="s">
        <v>16</v>
      </c>
      <c r="L86" t="s">
        <v>36</v>
      </c>
    </row>
    <row r="87" spans="1:12" x14ac:dyDescent="0.2">
      <c r="A87" t="s">
        <v>134</v>
      </c>
      <c r="B87" s="1">
        <v>45340</v>
      </c>
      <c r="C87" t="s">
        <v>84</v>
      </c>
      <c r="D87" t="s">
        <v>31</v>
      </c>
      <c r="E87" t="s">
        <v>15</v>
      </c>
      <c r="F87">
        <v>1</v>
      </c>
      <c r="G87">
        <v>40284</v>
      </c>
      <c r="H87">
        <v>10</v>
      </c>
      <c r="I87">
        <v>36255.599999999999</v>
      </c>
      <c r="J87">
        <v>-449.5</v>
      </c>
      <c r="K87" t="s">
        <v>16</v>
      </c>
      <c r="L87" t="s">
        <v>45</v>
      </c>
    </row>
    <row r="88" spans="1:12" x14ac:dyDescent="0.2">
      <c r="A88" t="s">
        <v>135</v>
      </c>
      <c r="B88" s="1">
        <v>45315</v>
      </c>
      <c r="C88" t="s">
        <v>47</v>
      </c>
      <c r="D88" t="s">
        <v>35</v>
      </c>
      <c r="E88" t="s">
        <v>15</v>
      </c>
      <c r="F88">
        <v>-2</v>
      </c>
      <c r="G88">
        <v>38482</v>
      </c>
      <c r="H88">
        <v>10</v>
      </c>
      <c r="I88">
        <v>-69267.600000000006</v>
      </c>
      <c r="J88">
        <v>-13364.76</v>
      </c>
      <c r="K88" t="s">
        <v>32</v>
      </c>
      <c r="L88" t="s">
        <v>45</v>
      </c>
    </row>
    <row r="89" spans="1:12" x14ac:dyDescent="0.2">
      <c r="A89" t="s">
        <v>136</v>
      </c>
      <c r="B89" s="1">
        <v>45415</v>
      </c>
      <c r="C89" t="s">
        <v>25</v>
      </c>
      <c r="D89" t="s">
        <v>48</v>
      </c>
      <c r="E89" t="s">
        <v>20</v>
      </c>
      <c r="F89">
        <v>2</v>
      </c>
      <c r="G89">
        <v>11283</v>
      </c>
      <c r="H89">
        <v>10</v>
      </c>
      <c r="I89">
        <v>20309.400000000001</v>
      </c>
      <c r="J89">
        <v>5394.57</v>
      </c>
      <c r="K89" t="s">
        <v>16</v>
      </c>
      <c r="L89" t="s">
        <v>36</v>
      </c>
    </row>
    <row r="90" spans="1:12" x14ac:dyDescent="0.2">
      <c r="A90" t="s">
        <v>137</v>
      </c>
      <c r="B90" s="1">
        <v>45464</v>
      </c>
      <c r="C90" t="s">
        <v>13</v>
      </c>
      <c r="D90" t="s">
        <v>44</v>
      </c>
      <c r="E90" t="s">
        <v>20</v>
      </c>
      <c r="F90">
        <v>0</v>
      </c>
      <c r="G90">
        <v>49924</v>
      </c>
      <c r="H90">
        <v>5</v>
      </c>
      <c r="I90">
        <v>0</v>
      </c>
      <c r="J90">
        <v>0</v>
      </c>
      <c r="K90" t="s">
        <v>16</v>
      </c>
      <c r="L90" t="s">
        <v>45</v>
      </c>
    </row>
    <row r="91" spans="1:12" x14ac:dyDescent="0.2">
      <c r="A91" t="s">
        <v>138</v>
      </c>
      <c r="B91" s="1">
        <v>45464</v>
      </c>
      <c r="C91" t="s">
        <v>23</v>
      </c>
      <c r="D91" t="s">
        <v>48</v>
      </c>
      <c r="E91" t="s">
        <v>20</v>
      </c>
      <c r="F91">
        <v>-1</v>
      </c>
      <c r="G91">
        <v>30304</v>
      </c>
      <c r="H91">
        <v>10</v>
      </c>
      <c r="I91">
        <v>-27273.599999999999</v>
      </c>
      <c r="J91">
        <v>-4612.82</v>
      </c>
      <c r="K91" t="s">
        <v>16</v>
      </c>
      <c r="L91" t="s">
        <v>26</v>
      </c>
    </row>
    <row r="92" spans="1:12" x14ac:dyDescent="0.2">
      <c r="A92" t="s">
        <v>139</v>
      </c>
      <c r="B92" s="1">
        <v>45448</v>
      </c>
      <c r="C92" t="s">
        <v>43</v>
      </c>
      <c r="D92" t="s">
        <v>35</v>
      </c>
      <c r="E92" t="s">
        <v>15</v>
      </c>
      <c r="F92">
        <v>-2</v>
      </c>
      <c r="G92">
        <v>41102</v>
      </c>
      <c r="H92">
        <v>20</v>
      </c>
      <c r="I92">
        <v>-65763.199999999997</v>
      </c>
      <c r="J92">
        <v>-2051.98</v>
      </c>
      <c r="K92" t="s">
        <v>21</v>
      </c>
      <c r="L92" t="s">
        <v>36</v>
      </c>
    </row>
    <row r="93" spans="1:12" x14ac:dyDescent="0.2">
      <c r="A93" t="s">
        <v>140</v>
      </c>
      <c r="B93" s="1">
        <v>45418</v>
      </c>
      <c r="C93" t="s">
        <v>61</v>
      </c>
      <c r="D93" t="s">
        <v>44</v>
      </c>
      <c r="E93" t="s">
        <v>20</v>
      </c>
      <c r="F93">
        <v>0</v>
      </c>
      <c r="G93">
        <v>3471</v>
      </c>
      <c r="H93">
        <v>0</v>
      </c>
      <c r="I93">
        <v>0</v>
      </c>
      <c r="J93">
        <v>0</v>
      </c>
      <c r="K93" t="s">
        <v>39</v>
      </c>
      <c r="L93" t="s">
        <v>45</v>
      </c>
    </row>
    <row r="94" spans="1:12" x14ac:dyDescent="0.2">
      <c r="A94" t="s">
        <v>141</v>
      </c>
      <c r="B94" s="1">
        <v>45459</v>
      </c>
      <c r="C94" t="s">
        <v>38</v>
      </c>
      <c r="D94" t="s">
        <v>14</v>
      </c>
      <c r="E94" t="s">
        <v>15</v>
      </c>
      <c r="F94">
        <v>4</v>
      </c>
      <c r="G94">
        <v>38991</v>
      </c>
      <c r="H94">
        <v>5</v>
      </c>
      <c r="I94">
        <v>148165.79999999999</v>
      </c>
      <c r="J94">
        <v>37658.639999999999</v>
      </c>
      <c r="K94" t="s">
        <v>21</v>
      </c>
      <c r="L94" t="s">
        <v>17</v>
      </c>
    </row>
    <row r="95" spans="1:12" x14ac:dyDescent="0.2">
      <c r="A95" t="s">
        <v>142</v>
      </c>
      <c r="B95" s="1">
        <v>45352</v>
      </c>
      <c r="C95" t="s">
        <v>28</v>
      </c>
      <c r="D95" t="s">
        <v>14</v>
      </c>
      <c r="E95" t="s">
        <v>15</v>
      </c>
      <c r="F95">
        <v>3</v>
      </c>
      <c r="G95">
        <v>14738</v>
      </c>
      <c r="H95">
        <v>15</v>
      </c>
      <c r="I95">
        <v>37581.9</v>
      </c>
      <c r="J95">
        <v>2926.82</v>
      </c>
      <c r="K95" t="s">
        <v>21</v>
      </c>
      <c r="L95" t="s">
        <v>17</v>
      </c>
    </row>
    <row r="96" spans="1:12" x14ac:dyDescent="0.2">
      <c r="A96" t="s">
        <v>143</v>
      </c>
      <c r="B96" s="1">
        <v>45408</v>
      </c>
      <c r="C96" t="s">
        <v>67</v>
      </c>
      <c r="D96" t="s">
        <v>35</v>
      </c>
      <c r="E96" t="s">
        <v>15</v>
      </c>
      <c r="F96">
        <v>2</v>
      </c>
      <c r="G96">
        <v>12939</v>
      </c>
      <c r="H96">
        <v>0</v>
      </c>
      <c r="I96">
        <v>25878</v>
      </c>
      <c r="J96">
        <v>7235.6</v>
      </c>
      <c r="K96" t="s">
        <v>16</v>
      </c>
      <c r="L96" t="s">
        <v>17</v>
      </c>
    </row>
    <row r="97" spans="1:12" x14ac:dyDescent="0.2">
      <c r="A97" t="s">
        <v>87</v>
      </c>
      <c r="B97" s="1">
        <v>45434</v>
      </c>
      <c r="C97" t="s">
        <v>28</v>
      </c>
      <c r="D97" t="s">
        <v>35</v>
      </c>
      <c r="E97" t="s">
        <v>15</v>
      </c>
      <c r="F97">
        <v>1</v>
      </c>
      <c r="G97">
        <v>12026</v>
      </c>
      <c r="H97">
        <v>20</v>
      </c>
      <c r="I97">
        <v>9620.7999999999993</v>
      </c>
      <c r="J97">
        <v>825.66</v>
      </c>
      <c r="K97" t="s">
        <v>21</v>
      </c>
      <c r="L97" t="s">
        <v>36</v>
      </c>
    </row>
    <row r="98" spans="1:12" x14ac:dyDescent="0.2">
      <c r="A98" t="s">
        <v>76</v>
      </c>
      <c r="B98" s="1">
        <v>45319</v>
      </c>
      <c r="C98" t="s">
        <v>34</v>
      </c>
      <c r="D98" t="s">
        <v>14</v>
      </c>
      <c r="E98" t="s">
        <v>15</v>
      </c>
      <c r="F98">
        <v>1</v>
      </c>
      <c r="G98">
        <v>17985</v>
      </c>
      <c r="H98">
        <v>5</v>
      </c>
      <c r="I98">
        <v>17085.75</v>
      </c>
      <c r="J98">
        <v>3672.58</v>
      </c>
      <c r="K98" t="s">
        <v>39</v>
      </c>
      <c r="L98" t="s">
        <v>45</v>
      </c>
    </row>
    <row r="99" spans="1:12" x14ac:dyDescent="0.2">
      <c r="A99" t="s">
        <v>93</v>
      </c>
      <c r="B99" s="1">
        <v>45410</v>
      </c>
      <c r="C99" t="s">
        <v>94</v>
      </c>
      <c r="D99" t="s">
        <v>35</v>
      </c>
      <c r="E99" t="s">
        <v>15</v>
      </c>
      <c r="F99">
        <v>-2</v>
      </c>
      <c r="G99">
        <v>6001</v>
      </c>
      <c r="H99">
        <v>15</v>
      </c>
      <c r="I99">
        <v>-10201.700000000001</v>
      </c>
      <c r="J99">
        <v>466.42</v>
      </c>
      <c r="K99" t="s">
        <v>21</v>
      </c>
      <c r="L99" t="s">
        <v>45</v>
      </c>
    </row>
    <row r="100" spans="1:12" x14ac:dyDescent="0.2">
      <c r="A100" t="s">
        <v>106</v>
      </c>
      <c r="B100" s="1">
        <v>45426</v>
      </c>
      <c r="C100" t="s">
        <v>28</v>
      </c>
      <c r="D100" t="s">
        <v>14</v>
      </c>
      <c r="E100" t="s">
        <v>15</v>
      </c>
      <c r="F100">
        <v>5</v>
      </c>
      <c r="G100">
        <v>18620</v>
      </c>
      <c r="H100">
        <v>20</v>
      </c>
      <c r="I100">
        <v>74480</v>
      </c>
      <c r="J100">
        <v>21647.08</v>
      </c>
      <c r="K100" t="s">
        <v>21</v>
      </c>
      <c r="L100" t="s">
        <v>26</v>
      </c>
    </row>
    <row r="101" spans="1:12" x14ac:dyDescent="0.2">
      <c r="A101" t="s">
        <v>126</v>
      </c>
      <c r="B101" s="1">
        <v>45317</v>
      </c>
      <c r="C101" t="s">
        <v>63</v>
      </c>
      <c r="D101" t="s">
        <v>44</v>
      </c>
      <c r="E101" t="s">
        <v>20</v>
      </c>
      <c r="F101">
        <v>0</v>
      </c>
      <c r="G101">
        <v>33418</v>
      </c>
      <c r="H101">
        <v>20</v>
      </c>
      <c r="I101">
        <v>0</v>
      </c>
      <c r="J101">
        <v>0</v>
      </c>
      <c r="K101" t="s">
        <v>16</v>
      </c>
      <c r="L1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3903-EE2D-214E-8A6B-C4C42444B529}">
  <dimension ref="A1:S94"/>
  <sheetViews>
    <sheetView topLeftCell="A37" zoomScale="57" workbookViewId="0">
      <selection activeCell="S3" sqref="S3"/>
    </sheetView>
  </sheetViews>
  <sheetFormatPr baseColWidth="10" defaultRowHeight="16" x14ac:dyDescent="0.2"/>
  <cols>
    <col min="2" max="2" width="13" customWidth="1"/>
    <col min="3" max="3" width="14.5" customWidth="1"/>
    <col min="5" max="5" width="11" customWidth="1"/>
    <col min="7" max="7" width="12" customWidth="1"/>
    <col min="8" max="8" width="13.33203125" customWidth="1"/>
    <col min="12" max="12" width="17.83203125" customWidth="1"/>
    <col min="15" max="15" width="25" customWidth="1"/>
    <col min="16" max="16" width="16.33203125" customWidth="1"/>
    <col min="17" max="17" width="17" customWidth="1"/>
    <col min="18" max="18" width="20" customWidth="1"/>
    <col min="19" max="19" width="21.3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144</v>
      </c>
      <c r="N1" t="s">
        <v>145</v>
      </c>
      <c r="O1" s="5" t="s">
        <v>146</v>
      </c>
      <c r="P1" t="s">
        <v>189</v>
      </c>
      <c r="Q1" t="s">
        <v>190</v>
      </c>
      <c r="R1" t="s">
        <v>191</v>
      </c>
      <c r="S1" t="s">
        <v>193</v>
      </c>
    </row>
    <row r="2" spans="1:19" x14ac:dyDescent="0.2">
      <c r="A2" t="s">
        <v>12</v>
      </c>
      <c r="B2" s="3">
        <v>45414</v>
      </c>
      <c r="C2" t="s">
        <v>13</v>
      </c>
      <c r="D2" t="s">
        <v>14</v>
      </c>
      <c r="E2" t="s">
        <v>15</v>
      </c>
      <c r="F2">
        <v>-1</v>
      </c>
      <c r="G2">
        <v>2139</v>
      </c>
      <c r="H2">
        <v>10</v>
      </c>
      <c r="I2">
        <v>-1925.1</v>
      </c>
      <c r="J2">
        <v>3.93</v>
      </c>
      <c r="K2" t="s">
        <v>16</v>
      </c>
      <c r="L2" t="s">
        <v>17</v>
      </c>
      <c r="M2">
        <v>2024</v>
      </c>
      <c r="N2">
        <v>5</v>
      </c>
      <c r="O2" s="2">
        <v>-2.0414523920835202E-3</v>
      </c>
      <c r="P2" t="str">
        <f>TEXT(Table1[[#This Row],[Order_Date]],"mmm")</f>
        <v>May</v>
      </c>
      <c r="Q2">
        <f>YEAR(Table1[[#This Row],[Order_Date]])</f>
        <v>2024</v>
      </c>
      <c r="R2">
        <f>Table1[[#This Row],[Profit]]/Table1[[#This Row],[Sales]]</f>
        <v>-2.0414523920835284E-3</v>
      </c>
      <c r="S2">
        <f t="shared" ref="S2:S33" si="0">IF(I2&lt;0,0,I2)</f>
        <v>0</v>
      </c>
    </row>
    <row r="3" spans="1:19" x14ac:dyDescent="0.2">
      <c r="A3" t="s">
        <v>18</v>
      </c>
      <c r="B3" s="3">
        <v>45342</v>
      </c>
      <c r="C3" t="s">
        <v>13</v>
      </c>
      <c r="D3" t="s">
        <v>19</v>
      </c>
      <c r="E3" t="s">
        <v>20</v>
      </c>
      <c r="F3">
        <v>1</v>
      </c>
      <c r="G3">
        <v>33618</v>
      </c>
      <c r="H3">
        <v>20</v>
      </c>
      <c r="I3">
        <v>26894.400000000001</v>
      </c>
      <c r="J3">
        <v>-2403.9699999999998</v>
      </c>
      <c r="K3" t="s">
        <v>21</v>
      </c>
      <c r="L3" t="s">
        <v>17</v>
      </c>
      <c r="M3">
        <v>2024</v>
      </c>
      <c r="N3">
        <v>2</v>
      </c>
      <c r="O3" s="2">
        <v>-8.9385522636682702E-2</v>
      </c>
      <c r="P3" t="str">
        <f>TEXT(Table1[[#This Row],[Order_Date]],"mmm")</f>
        <v>Feb</v>
      </c>
      <c r="Q3">
        <f>YEAR(Table1[[#This Row],[Order_Date]])</f>
        <v>2024</v>
      </c>
      <c r="R3">
        <f>Table1[[#This Row],[Profit]]/Table1[[#This Row],[Sales]]</f>
        <v>-8.9385522636682715E-2</v>
      </c>
      <c r="S3">
        <f t="shared" si="0"/>
        <v>26894.400000000001</v>
      </c>
    </row>
    <row r="4" spans="1:19" x14ac:dyDescent="0.2">
      <c r="A4" t="s">
        <v>22</v>
      </c>
      <c r="B4" s="3">
        <v>45378</v>
      </c>
      <c r="C4" t="s">
        <v>23</v>
      </c>
      <c r="D4" t="s">
        <v>19</v>
      </c>
      <c r="E4" t="s">
        <v>20</v>
      </c>
      <c r="F4">
        <v>4</v>
      </c>
      <c r="G4">
        <v>22798</v>
      </c>
      <c r="H4">
        <v>10</v>
      </c>
      <c r="I4">
        <v>82072.800000000003</v>
      </c>
      <c r="J4">
        <v>-3103.02</v>
      </c>
      <c r="K4" t="s">
        <v>21</v>
      </c>
      <c r="L4" t="s">
        <v>17</v>
      </c>
      <c r="M4">
        <v>2024</v>
      </c>
      <c r="N4">
        <v>3</v>
      </c>
      <c r="O4" s="2">
        <v>-3.7808141065005699E-2</v>
      </c>
      <c r="P4" t="str">
        <f>TEXT(Table1[[#This Row],[Order_Date]],"mmm")</f>
        <v>Mar</v>
      </c>
      <c r="Q4">
        <f>YEAR(Table1[[#This Row],[Order_Date]])</f>
        <v>2024</v>
      </c>
      <c r="R4">
        <f>Table1[[#This Row],[Profit]]/Table1[[#This Row],[Sales]]</f>
        <v>-3.7808141065005699E-2</v>
      </c>
      <c r="S4">
        <f t="shared" si="0"/>
        <v>82072.800000000003</v>
      </c>
    </row>
    <row r="5" spans="1:19" x14ac:dyDescent="0.2">
      <c r="A5" t="s">
        <v>24</v>
      </c>
      <c r="B5" s="3">
        <v>45447</v>
      </c>
      <c r="C5" t="s">
        <v>25</v>
      </c>
      <c r="D5" t="s">
        <v>14</v>
      </c>
      <c r="E5" t="s">
        <v>15</v>
      </c>
      <c r="F5">
        <v>5</v>
      </c>
      <c r="G5">
        <v>35642</v>
      </c>
      <c r="H5">
        <v>0</v>
      </c>
      <c r="I5">
        <v>178210</v>
      </c>
      <c r="J5">
        <v>51546.58</v>
      </c>
      <c r="K5" t="s">
        <v>21</v>
      </c>
      <c r="L5" t="s">
        <v>26</v>
      </c>
      <c r="M5">
        <v>2024</v>
      </c>
      <c r="N5">
        <v>6</v>
      </c>
      <c r="O5" s="4" t="s">
        <v>147</v>
      </c>
      <c r="P5" t="str">
        <f>TEXT(Table1[[#This Row],[Order_Date]],"mmm")</f>
        <v>Jun</v>
      </c>
      <c r="Q5">
        <f>YEAR(Table1[[#This Row],[Order_Date]])</f>
        <v>2024</v>
      </c>
      <c r="R5">
        <f>Table1[[#This Row],[Profit]]/Table1[[#This Row],[Sales]]</f>
        <v>0.28924628247573086</v>
      </c>
      <c r="S5">
        <f t="shared" si="0"/>
        <v>178210</v>
      </c>
    </row>
    <row r="6" spans="1:19" x14ac:dyDescent="0.2">
      <c r="A6" t="s">
        <v>27</v>
      </c>
      <c r="B6" s="3">
        <v>45312</v>
      </c>
      <c r="C6" t="s">
        <v>28</v>
      </c>
      <c r="D6" t="s">
        <v>14</v>
      </c>
      <c r="E6" t="s">
        <v>15</v>
      </c>
      <c r="F6">
        <v>-1</v>
      </c>
      <c r="G6">
        <v>3503</v>
      </c>
      <c r="H6">
        <v>5</v>
      </c>
      <c r="I6">
        <v>-3327.85</v>
      </c>
      <c r="J6">
        <v>-696.28</v>
      </c>
      <c r="K6" t="s">
        <v>21</v>
      </c>
      <c r="L6" t="s">
        <v>26</v>
      </c>
      <c r="M6">
        <v>2024</v>
      </c>
      <c r="N6">
        <v>1</v>
      </c>
      <c r="O6" s="4" t="s">
        <v>148</v>
      </c>
      <c r="P6" t="str">
        <f>TEXT(Table1[[#This Row],[Order_Date]],"mmm")</f>
        <v>Jan</v>
      </c>
      <c r="Q6">
        <f>YEAR(Table1[[#This Row],[Order_Date]])</f>
        <v>2024</v>
      </c>
      <c r="R6">
        <f>Table1[[#This Row],[Profit]]/Table1[[#This Row],[Sales]]</f>
        <v>0.20922818035668675</v>
      </c>
      <c r="S6">
        <f t="shared" si="0"/>
        <v>0</v>
      </c>
    </row>
    <row r="7" spans="1:19" x14ac:dyDescent="0.2">
      <c r="A7" t="s">
        <v>29</v>
      </c>
      <c r="B7" s="3">
        <v>45466</v>
      </c>
      <c r="C7" t="s">
        <v>30</v>
      </c>
      <c r="D7" t="s">
        <v>31</v>
      </c>
      <c r="E7" t="s">
        <v>15</v>
      </c>
      <c r="F7">
        <v>3</v>
      </c>
      <c r="G7">
        <v>14230</v>
      </c>
      <c r="H7">
        <v>10</v>
      </c>
      <c r="I7">
        <v>38421</v>
      </c>
      <c r="J7">
        <v>6943.76</v>
      </c>
      <c r="K7" t="s">
        <v>32</v>
      </c>
      <c r="L7" t="s">
        <v>26</v>
      </c>
      <c r="M7">
        <v>2024</v>
      </c>
      <c r="N7">
        <v>6</v>
      </c>
      <c r="O7" s="4" t="s">
        <v>149</v>
      </c>
      <c r="P7" t="str">
        <f>TEXT(Table1[[#This Row],[Order_Date]],"mmm")</f>
        <v>Jun</v>
      </c>
      <c r="Q7">
        <f>YEAR(Table1[[#This Row],[Order_Date]])</f>
        <v>2024</v>
      </c>
      <c r="R7">
        <f>Table1[[#This Row],[Profit]]/Table1[[#This Row],[Sales]]</f>
        <v>0.1807282475729419</v>
      </c>
      <c r="S7">
        <f t="shared" si="0"/>
        <v>38421</v>
      </c>
    </row>
    <row r="8" spans="1:19" x14ac:dyDescent="0.2">
      <c r="A8" t="s">
        <v>33</v>
      </c>
      <c r="B8" s="3">
        <v>45375</v>
      </c>
      <c r="C8" t="s">
        <v>34</v>
      </c>
      <c r="D8" t="s">
        <v>35</v>
      </c>
      <c r="E8" t="s">
        <v>15</v>
      </c>
      <c r="F8">
        <v>1</v>
      </c>
      <c r="G8">
        <v>18191</v>
      </c>
      <c r="H8">
        <v>20</v>
      </c>
      <c r="I8">
        <v>58211.199999999997</v>
      </c>
      <c r="J8">
        <v>-707.49</v>
      </c>
      <c r="K8" t="s">
        <v>21</v>
      </c>
      <c r="L8" t="s">
        <v>36</v>
      </c>
      <c r="M8">
        <v>2024</v>
      </c>
      <c r="N8">
        <v>3</v>
      </c>
      <c r="O8" s="2">
        <v>-1.21538466824253E-2</v>
      </c>
      <c r="P8" t="str">
        <f>TEXT(Table1[[#This Row],[Order_Date]],"mmm")</f>
        <v>Mar</v>
      </c>
      <c r="Q8">
        <f>YEAR(Table1[[#This Row],[Order_Date]])</f>
        <v>2024</v>
      </c>
      <c r="R8">
        <f>Table1[[#This Row],[Profit]]/Table1[[#This Row],[Sales]]</f>
        <v>-1.2153846682425376E-2</v>
      </c>
      <c r="S8">
        <f t="shared" si="0"/>
        <v>58211.199999999997</v>
      </c>
    </row>
    <row r="9" spans="1:19" x14ac:dyDescent="0.2">
      <c r="A9" t="s">
        <v>37</v>
      </c>
      <c r="B9" s="3">
        <v>45372</v>
      </c>
      <c r="C9" t="s">
        <v>38</v>
      </c>
      <c r="D9" t="s">
        <v>31</v>
      </c>
      <c r="E9" t="s">
        <v>15</v>
      </c>
      <c r="F9">
        <v>-1</v>
      </c>
      <c r="G9">
        <v>14326</v>
      </c>
      <c r="H9">
        <v>20</v>
      </c>
      <c r="I9">
        <v>-11460.8</v>
      </c>
      <c r="J9">
        <v>-2871.47</v>
      </c>
      <c r="K9" t="s">
        <v>39</v>
      </c>
      <c r="L9" t="s">
        <v>26</v>
      </c>
      <c r="M9">
        <v>2024</v>
      </c>
      <c r="N9">
        <v>3</v>
      </c>
      <c r="O9" s="4" t="s">
        <v>150</v>
      </c>
      <c r="P9" t="str">
        <f>TEXT(Table1[[#This Row],[Order_Date]],"mmm")</f>
        <v>Mar</v>
      </c>
      <c r="Q9">
        <f>YEAR(Table1[[#This Row],[Order_Date]])</f>
        <v>2024</v>
      </c>
      <c r="R9">
        <f>Table1[[#This Row],[Profit]]/Table1[[#This Row],[Sales]]</f>
        <v>0.25054708222811672</v>
      </c>
      <c r="S9">
        <f t="shared" si="0"/>
        <v>0</v>
      </c>
    </row>
    <row r="10" spans="1:19" x14ac:dyDescent="0.2">
      <c r="A10" t="s">
        <v>40</v>
      </c>
      <c r="B10" s="3">
        <v>45441</v>
      </c>
      <c r="C10" t="s">
        <v>41</v>
      </c>
      <c r="D10" t="s">
        <v>31</v>
      </c>
      <c r="E10" t="s">
        <v>15</v>
      </c>
      <c r="F10">
        <v>0</v>
      </c>
      <c r="G10">
        <v>16662</v>
      </c>
      <c r="H10">
        <v>20</v>
      </c>
      <c r="I10">
        <v>0</v>
      </c>
      <c r="J10">
        <v>0</v>
      </c>
      <c r="K10" t="s">
        <v>32</v>
      </c>
      <c r="L10" t="s">
        <v>36</v>
      </c>
      <c r="M10">
        <v>2024</v>
      </c>
      <c r="N10">
        <v>5</v>
      </c>
      <c r="O10" s="2"/>
      <c r="P10" t="str">
        <f>TEXT(Table1[[#This Row],[Order_Date]],"mmm")</f>
        <v>May</v>
      </c>
      <c r="Q10">
        <f>YEAR(Table1[[#This Row],[Order_Date]])</f>
        <v>2024</v>
      </c>
      <c r="R10" t="e">
        <f>Table1[[#This Row],[Profit]]/Table1[[#This Row],[Sales]]</f>
        <v>#DIV/0!</v>
      </c>
      <c r="S10">
        <f t="shared" si="0"/>
        <v>0</v>
      </c>
    </row>
    <row r="11" spans="1:19" x14ac:dyDescent="0.2">
      <c r="A11" t="s">
        <v>42</v>
      </c>
      <c r="B11" s="3">
        <v>45466</v>
      </c>
      <c r="C11" t="s">
        <v>43</v>
      </c>
      <c r="D11" t="s">
        <v>44</v>
      </c>
      <c r="E11" t="s">
        <v>20</v>
      </c>
      <c r="F11">
        <v>-2</v>
      </c>
      <c r="G11">
        <v>7685</v>
      </c>
      <c r="H11">
        <v>5</v>
      </c>
      <c r="I11">
        <v>-14601.5</v>
      </c>
      <c r="J11">
        <v>-2204.5100000000002</v>
      </c>
      <c r="K11" t="s">
        <v>39</v>
      </c>
      <c r="L11" t="s">
        <v>45</v>
      </c>
      <c r="M11">
        <v>2024</v>
      </c>
      <c r="N11">
        <v>6</v>
      </c>
      <c r="O11" s="4" t="s">
        <v>151</v>
      </c>
      <c r="P11" t="str">
        <f>TEXT(Table1[[#This Row],[Order_Date]],"mmm")</f>
        <v>Jun</v>
      </c>
      <c r="Q11">
        <f>YEAR(Table1[[#This Row],[Order_Date]])</f>
        <v>2024</v>
      </c>
      <c r="R11">
        <f>Table1[[#This Row],[Profit]]/Table1[[#This Row],[Sales]]</f>
        <v>0.15097832414477966</v>
      </c>
      <c r="S11">
        <f t="shared" si="0"/>
        <v>0</v>
      </c>
    </row>
    <row r="12" spans="1:19" x14ac:dyDescent="0.2">
      <c r="A12" t="s">
        <v>46</v>
      </c>
      <c r="B12" s="3">
        <v>45429</v>
      </c>
      <c r="C12" t="s">
        <v>47</v>
      </c>
      <c r="D12" t="s">
        <v>48</v>
      </c>
      <c r="E12" t="s">
        <v>20</v>
      </c>
      <c r="F12">
        <v>-2</v>
      </c>
      <c r="G12">
        <v>45083</v>
      </c>
      <c r="H12">
        <v>0</v>
      </c>
      <c r="I12">
        <v>-90166</v>
      </c>
      <c r="J12">
        <v>-15570.24</v>
      </c>
      <c r="K12" t="s">
        <v>39</v>
      </c>
      <c r="L12" t="s">
        <v>17</v>
      </c>
      <c r="M12">
        <v>2024</v>
      </c>
      <c r="N12">
        <v>5</v>
      </c>
      <c r="O12" s="4" t="s">
        <v>152</v>
      </c>
      <c r="P12" t="str">
        <f>TEXT(Table1[[#This Row],[Order_Date]],"mmm")</f>
        <v>May</v>
      </c>
      <c r="Q12">
        <f>YEAR(Table1[[#This Row],[Order_Date]])</f>
        <v>2024</v>
      </c>
      <c r="R12">
        <f>Table1[[#This Row],[Profit]]/Table1[[#This Row],[Sales]]</f>
        <v>0.17268416032650888</v>
      </c>
      <c r="S12">
        <f t="shared" si="0"/>
        <v>0</v>
      </c>
    </row>
    <row r="13" spans="1:19" x14ac:dyDescent="0.2">
      <c r="A13" t="s">
        <v>49</v>
      </c>
      <c r="B13" s="3">
        <v>45319</v>
      </c>
      <c r="C13" t="s">
        <v>25</v>
      </c>
      <c r="D13" t="s">
        <v>14</v>
      </c>
      <c r="E13" t="s">
        <v>15</v>
      </c>
      <c r="F13">
        <v>2</v>
      </c>
      <c r="G13">
        <v>33306</v>
      </c>
      <c r="H13">
        <v>5</v>
      </c>
      <c r="I13">
        <v>63281.4</v>
      </c>
      <c r="J13">
        <v>6522.58</v>
      </c>
      <c r="K13" t="s">
        <v>32</v>
      </c>
      <c r="L13" t="s">
        <v>26</v>
      </c>
      <c r="M13">
        <v>2024</v>
      </c>
      <c r="N13">
        <v>1</v>
      </c>
      <c r="O13" s="4" t="s">
        <v>153</v>
      </c>
      <c r="P13" t="str">
        <f>TEXT(Table1[[#This Row],[Order_Date]],"mmm")</f>
        <v>Jan</v>
      </c>
      <c r="Q13">
        <f>YEAR(Table1[[#This Row],[Order_Date]])</f>
        <v>2024</v>
      </c>
      <c r="R13">
        <f>Table1[[#This Row],[Profit]]/Table1[[#This Row],[Sales]]</f>
        <v>0.10307262481550661</v>
      </c>
      <c r="S13">
        <f t="shared" si="0"/>
        <v>63281.4</v>
      </c>
    </row>
    <row r="14" spans="1:19" x14ac:dyDescent="0.2">
      <c r="A14" t="s">
        <v>50</v>
      </c>
      <c r="B14" s="3">
        <v>45328</v>
      </c>
      <c r="C14" t="s">
        <v>51</v>
      </c>
      <c r="D14" t="s">
        <v>31</v>
      </c>
      <c r="E14" t="s">
        <v>15</v>
      </c>
      <c r="F14">
        <v>0</v>
      </c>
      <c r="G14">
        <v>35848</v>
      </c>
      <c r="H14">
        <v>20</v>
      </c>
      <c r="I14">
        <v>0</v>
      </c>
      <c r="J14">
        <v>0</v>
      </c>
      <c r="K14" t="s">
        <v>21</v>
      </c>
      <c r="L14" t="s">
        <v>26</v>
      </c>
      <c r="M14">
        <v>2024</v>
      </c>
      <c r="N14">
        <v>2</v>
      </c>
      <c r="O14" s="2"/>
      <c r="P14" t="str">
        <f>TEXT(Table1[[#This Row],[Order_Date]],"mmm")</f>
        <v>Feb</v>
      </c>
      <c r="Q14">
        <f>YEAR(Table1[[#This Row],[Order_Date]])</f>
        <v>2024</v>
      </c>
      <c r="R14" t="e">
        <f>Table1[[#This Row],[Profit]]/Table1[[#This Row],[Sales]]</f>
        <v>#DIV/0!</v>
      </c>
      <c r="S14">
        <f t="shared" si="0"/>
        <v>0</v>
      </c>
    </row>
    <row r="15" spans="1:19" x14ac:dyDescent="0.2">
      <c r="A15" t="s">
        <v>52</v>
      </c>
      <c r="B15" s="3">
        <v>45387</v>
      </c>
      <c r="C15" t="s">
        <v>13</v>
      </c>
      <c r="D15" t="s">
        <v>44</v>
      </c>
      <c r="E15" t="s">
        <v>20</v>
      </c>
      <c r="F15">
        <v>1</v>
      </c>
      <c r="G15">
        <v>37682</v>
      </c>
      <c r="H15">
        <v>0</v>
      </c>
      <c r="I15">
        <v>37682</v>
      </c>
      <c r="J15">
        <v>-2477.16</v>
      </c>
      <c r="K15" t="s">
        <v>39</v>
      </c>
      <c r="L15" t="s">
        <v>26</v>
      </c>
      <c r="M15">
        <v>2024</v>
      </c>
      <c r="N15">
        <v>4</v>
      </c>
      <c r="O15" s="2">
        <v>-6.5738548909293495E-2</v>
      </c>
      <c r="P15" t="str">
        <f>TEXT(Table1[[#This Row],[Order_Date]],"mmm")</f>
        <v>Apr</v>
      </c>
      <c r="Q15">
        <f>YEAR(Table1[[#This Row],[Order_Date]])</f>
        <v>2024</v>
      </c>
      <c r="R15">
        <f>Table1[[#This Row],[Profit]]/Table1[[#This Row],[Sales]]</f>
        <v>-6.5738548909293565E-2</v>
      </c>
      <c r="S15">
        <f t="shared" si="0"/>
        <v>37682</v>
      </c>
    </row>
    <row r="16" spans="1:19" x14ac:dyDescent="0.2">
      <c r="A16" t="s">
        <v>53</v>
      </c>
      <c r="B16" s="3">
        <v>45468</v>
      </c>
      <c r="C16" t="s">
        <v>25</v>
      </c>
      <c r="D16" t="s">
        <v>31</v>
      </c>
      <c r="E16" t="s">
        <v>15</v>
      </c>
      <c r="F16">
        <v>4</v>
      </c>
      <c r="G16">
        <v>14380</v>
      </c>
      <c r="H16">
        <v>20</v>
      </c>
      <c r="I16">
        <v>46016</v>
      </c>
      <c r="J16">
        <v>9300.11</v>
      </c>
      <c r="K16" t="s">
        <v>21</v>
      </c>
      <c r="L16" t="s">
        <v>36</v>
      </c>
      <c r="M16">
        <v>2024</v>
      </c>
      <c r="N16">
        <v>6</v>
      </c>
      <c r="O16" s="4" t="s">
        <v>154</v>
      </c>
      <c r="P16" t="str">
        <f>TEXT(Table1[[#This Row],[Order_Date]],"mmm")</f>
        <v>Jun</v>
      </c>
      <c r="Q16">
        <f>YEAR(Table1[[#This Row],[Order_Date]])</f>
        <v>2024</v>
      </c>
      <c r="R16">
        <f>Table1[[#This Row],[Profit]]/Table1[[#This Row],[Sales]]</f>
        <v>0.2021060066063978</v>
      </c>
      <c r="S16">
        <f t="shared" si="0"/>
        <v>46016</v>
      </c>
    </row>
    <row r="17" spans="1:19" x14ac:dyDescent="0.2">
      <c r="A17" t="s">
        <v>56</v>
      </c>
      <c r="B17" s="3">
        <v>45294</v>
      </c>
      <c r="C17" t="s">
        <v>38</v>
      </c>
      <c r="D17" t="s">
        <v>19</v>
      </c>
      <c r="E17" t="s">
        <v>20</v>
      </c>
      <c r="F17">
        <v>-1</v>
      </c>
      <c r="G17">
        <v>2558</v>
      </c>
      <c r="H17">
        <v>10</v>
      </c>
      <c r="I17">
        <v>-2302.1999999999998</v>
      </c>
      <c r="J17">
        <v>164.97</v>
      </c>
      <c r="K17" t="s">
        <v>39</v>
      </c>
      <c r="L17" t="s">
        <v>26</v>
      </c>
      <c r="M17">
        <v>2024</v>
      </c>
      <c r="N17">
        <v>1</v>
      </c>
      <c r="O17" s="2">
        <v>-7.1657544956997596E-2</v>
      </c>
      <c r="P17" t="str">
        <f>TEXT(Table1[[#This Row],[Order_Date]],"mmm")</f>
        <v>Jan</v>
      </c>
      <c r="Q17">
        <f>YEAR(Table1[[#This Row],[Order_Date]])</f>
        <v>2024</v>
      </c>
      <c r="R17">
        <f>Table1[[#This Row],[Profit]]/Table1[[#This Row],[Sales]]</f>
        <v>-7.1657544956997665E-2</v>
      </c>
      <c r="S17">
        <f t="shared" si="0"/>
        <v>0</v>
      </c>
    </row>
    <row r="18" spans="1:19" x14ac:dyDescent="0.2">
      <c r="A18" t="s">
        <v>57</v>
      </c>
      <c r="B18" s="3">
        <v>45402</v>
      </c>
      <c r="C18" t="s">
        <v>58</v>
      </c>
      <c r="D18" t="s">
        <v>35</v>
      </c>
      <c r="E18" t="s">
        <v>15</v>
      </c>
      <c r="F18">
        <v>4</v>
      </c>
      <c r="G18">
        <v>12978</v>
      </c>
      <c r="H18">
        <v>0</v>
      </c>
      <c r="I18">
        <v>51912</v>
      </c>
      <c r="J18">
        <v>-3178.45</v>
      </c>
      <c r="K18" t="s">
        <v>16</v>
      </c>
      <c r="L18" t="s">
        <v>17</v>
      </c>
      <c r="M18">
        <v>2024</v>
      </c>
      <c r="N18">
        <v>4</v>
      </c>
      <c r="O18" s="2">
        <v>-6.1227654492217502E-2</v>
      </c>
      <c r="P18" t="str">
        <f>TEXT(Table1[[#This Row],[Order_Date]],"mmm")</f>
        <v>Apr</v>
      </c>
      <c r="Q18">
        <f>YEAR(Table1[[#This Row],[Order_Date]])</f>
        <v>2024</v>
      </c>
      <c r="R18">
        <f>Table1[[#This Row],[Profit]]/Table1[[#This Row],[Sales]]</f>
        <v>-6.1227654492217592E-2</v>
      </c>
      <c r="S18">
        <f t="shared" si="0"/>
        <v>51912</v>
      </c>
    </row>
    <row r="19" spans="1:19" x14ac:dyDescent="0.2">
      <c r="A19" t="s">
        <v>59</v>
      </c>
      <c r="B19" s="3">
        <v>45429</v>
      </c>
      <c r="C19" t="s">
        <v>58</v>
      </c>
      <c r="D19" t="s">
        <v>35</v>
      </c>
      <c r="E19" t="s">
        <v>15</v>
      </c>
      <c r="F19">
        <v>3</v>
      </c>
      <c r="G19">
        <v>7661</v>
      </c>
      <c r="H19">
        <v>5</v>
      </c>
      <c r="I19">
        <v>21833.85</v>
      </c>
      <c r="J19">
        <v>-510.13</v>
      </c>
      <c r="K19" t="s">
        <v>16</v>
      </c>
      <c r="L19" t="s">
        <v>36</v>
      </c>
      <c r="M19">
        <v>2024</v>
      </c>
      <c r="N19">
        <v>5</v>
      </c>
      <c r="O19" s="2">
        <v>-2.3364179931619902E-2</v>
      </c>
      <c r="P19" t="str">
        <f>TEXT(Table1[[#This Row],[Order_Date]],"mmm")</f>
        <v>May</v>
      </c>
      <c r="Q19">
        <f>YEAR(Table1[[#This Row],[Order_Date]])</f>
        <v>2024</v>
      </c>
      <c r="R19">
        <f>Table1[[#This Row],[Profit]]/Table1[[#This Row],[Sales]]</f>
        <v>-2.336417993161994E-2</v>
      </c>
      <c r="S19">
        <f t="shared" si="0"/>
        <v>21833.85</v>
      </c>
    </row>
    <row r="20" spans="1:19" x14ac:dyDescent="0.2">
      <c r="A20" t="s">
        <v>60</v>
      </c>
      <c r="B20" s="3">
        <v>45315</v>
      </c>
      <c r="C20" t="s">
        <v>61</v>
      </c>
      <c r="D20" t="s">
        <v>48</v>
      </c>
      <c r="E20" t="s">
        <v>20</v>
      </c>
      <c r="F20">
        <v>-1</v>
      </c>
      <c r="G20">
        <v>3815</v>
      </c>
      <c r="H20">
        <v>20</v>
      </c>
      <c r="I20">
        <v>-3052</v>
      </c>
      <c r="J20">
        <v>-715.42</v>
      </c>
      <c r="K20" t="s">
        <v>32</v>
      </c>
      <c r="L20" t="s">
        <v>36</v>
      </c>
      <c r="M20">
        <v>2024</v>
      </c>
      <c r="N20">
        <v>1</v>
      </c>
      <c r="O20" s="4" t="s">
        <v>155</v>
      </c>
      <c r="P20" t="str">
        <f>TEXT(Table1[[#This Row],[Order_Date]],"mmm")</f>
        <v>Jan</v>
      </c>
      <c r="Q20">
        <f>YEAR(Table1[[#This Row],[Order_Date]])</f>
        <v>2024</v>
      </c>
      <c r="R20">
        <f>Table1[[#This Row],[Profit]]/Table1[[#This Row],[Sales]]</f>
        <v>0.23441022280471821</v>
      </c>
      <c r="S20">
        <f t="shared" si="0"/>
        <v>0</v>
      </c>
    </row>
    <row r="21" spans="1:19" x14ac:dyDescent="0.2">
      <c r="A21" t="s">
        <v>62</v>
      </c>
      <c r="B21" s="3">
        <v>45507</v>
      </c>
      <c r="C21" t="s">
        <v>63</v>
      </c>
      <c r="D21" t="s">
        <v>44</v>
      </c>
      <c r="E21" t="s">
        <v>20</v>
      </c>
      <c r="F21">
        <v>0</v>
      </c>
      <c r="G21">
        <v>25336</v>
      </c>
      <c r="H21">
        <v>0</v>
      </c>
      <c r="I21">
        <v>0</v>
      </c>
      <c r="J21">
        <v>0</v>
      </c>
      <c r="K21" t="s">
        <v>39</v>
      </c>
      <c r="L21" t="s">
        <v>26</v>
      </c>
      <c r="M21">
        <v>2024</v>
      </c>
      <c r="N21">
        <v>8</v>
      </c>
      <c r="O21" s="2"/>
      <c r="P21" t="str">
        <f>TEXT(Table1[[#This Row],[Order_Date]],"mmm")</f>
        <v>Aug</v>
      </c>
      <c r="Q21">
        <f>YEAR(Table1[[#This Row],[Order_Date]])</f>
        <v>2024</v>
      </c>
      <c r="R21" t="e">
        <f>Table1[[#This Row],[Profit]]/Table1[[#This Row],[Sales]]</f>
        <v>#DIV/0!</v>
      </c>
      <c r="S21">
        <f t="shared" si="0"/>
        <v>0</v>
      </c>
    </row>
    <row r="22" spans="1:19" x14ac:dyDescent="0.2">
      <c r="A22" t="s">
        <v>64</v>
      </c>
      <c r="B22" s="3">
        <v>45430</v>
      </c>
      <c r="C22" t="s">
        <v>47</v>
      </c>
      <c r="D22" t="s">
        <v>19</v>
      </c>
      <c r="E22" t="s">
        <v>20</v>
      </c>
      <c r="F22">
        <v>2</v>
      </c>
      <c r="G22">
        <v>14767</v>
      </c>
      <c r="H22">
        <v>0</v>
      </c>
      <c r="I22">
        <v>29534</v>
      </c>
      <c r="J22">
        <v>3888.8</v>
      </c>
      <c r="K22" t="s">
        <v>32</v>
      </c>
      <c r="L22" t="s">
        <v>17</v>
      </c>
      <c r="M22">
        <v>2024</v>
      </c>
      <c r="N22">
        <v>5</v>
      </c>
      <c r="O22" s="4" t="s">
        <v>156</v>
      </c>
      <c r="P22" t="str">
        <f>TEXT(Table1[[#This Row],[Order_Date]],"mmm")</f>
        <v>May</v>
      </c>
      <c r="Q22">
        <f>YEAR(Table1[[#This Row],[Order_Date]])</f>
        <v>2024</v>
      </c>
      <c r="R22">
        <f>Table1[[#This Row],[Profit]]/Table1[[#This Row],[Sales]]</f>
        <v>0.13167197128732985</v>
      </c>
      <c r="S22">
        <f t="shared" si="0"/>
        <v>29534</v>
      </c>
    </row>
    <row r="23" spans="1:19" x14ac:dyDescent="0.2">
      <c r="A23" t="s">
        <v>65</v>
      </c>
      <c r="B23" s="3">
        <v>45464</v>
      </c>
      <c r="C23" t="s">
        <v>23</v>
      </c>
      <c r="D23" t="s">
        <v>48</v>
      </c>
      <c r="E23" t="s">
        <v>20</v>
      </c>
      <c r="F23">
        <v>-1</v>
      </c>
      <c r="G23">
        <v>12678</v>
      </c>
      <c r="H23">
        <v>0</v>
      </c>
      <c r="I23">
        <v>-12678</v>
      </c>
      <c r="J23">
        <v>-1749.74</v>
      </c>
      <c r="K23" t="s">
        <v>32</v>
      </c>
      <c r="L23" t="s">
        <v>17</v>
      </c>
      <c r="M23">
        <v>2024</v>
      </c>
      <c r="N23">
        <v>6</v>
      </c>
      <c r="O23" s="4" t="s">
        <v>157</v>
      </c>
      <c r="P23" t="str">
        <f>TEXT(Table1[[#This Row],[Order_Date]],"mmm")</f>
        <v>Jun</v>
      </c>
      <c r="Q23">
        <f>YEAR(Table1[[#This Row],[Order_Date]])</f>
        <v>2024</v>
      </c>
      <c r="R23">
        <f>Table1[[#This Row],[Profit]]/Table1[[#This Row],[Sales]]</f>
        <v>0.13801388231582268</v>
      </c>
      <c r="S23">
        <f t="shared" si="0"/>
        <v>0</v>
      </c>
    </row>
    <row r="24" spans="1:19" x14ac:dyDescent="0.2">
      <c r="A24" t="s">
        <v>66</v>
      </c>
      <c r="B24" s="3">
        <v>45372</v>
      </c>
      <c r="C24" t="s">
        <v>67</v>
      </c>
      <c r="D24" t="s">
        <v>48</v>
      </c>
      <c r="E24" t="s">
        <v>20</v>
      </c>
      <c r="F24">
        <v>-1</v>
      </c>
      <c r="G24">
        <v>27974</v>
      </c>
      <c r="H24">
        <v>20</v>
      </c>
      <c r="I24">
        <v>-22379.200000000001</v>
      </c>
      <c r="J24">
        <v>-2821.81</v>
      </c>
      <c r="K24" t="s">
        <v>21</v>
      </c>
      <c r="L24" t="s">
        <v>36</v>
      </c>
      <c r="M24">
        <v>2024</v>
      </c>
      <c r="N24">
        <v>3</v>
      </c>
      <c r="O24" s="4" t="s">
        <v>158</v>
      </c>
      <c r="P24" t="str">
        <f>TEXT(Table1[[#This Row],[Order_Date]],"mmm")</f>
        <v>Mar</v>
      </c>
      <c r="Q24">
        <f>YEAR(Table1[[#This Row],[Order_Date]])</f>
        <v>2024</v>
      </c>
      <c r="R24">
        <f>Table1[[#This Row],[Profit]]/Table1[[#This Row],[Sales]]</f>
        <v>0.12609074497747907</v>
      </c>
      <c r="S24">
        <f t="shared" si="0"/>
        <v>0</v>
      </c>
    </row>
    <row r="25" spans="1:19" x14ac:dyDescent="0.2">
      <c r="A25" t="s">
        <v>69</v>
      </c>
      <c r="B25" s="3">
        <v>45354</v>
      </c>
      <c r="C25" t="s">
        <v>70</v>
      </c>
      <c r="D25" t="s">
        <v>48</v>
      </c>
      <c r="E25" t="s">
        <v>20</v>
      </c>
      <c r="F25">
        <v>2</v>
      </c>
      <c r="G25">
        <v>9180</v>
      </c>
      <c r="H25">
        <v>10</v>
      </c>
      <c r="I25">
        <v>16524</v>
      </c>
      <c r="J25">
        <v>4169.76</v>
      </c>
      <c r="K25" t="s">
        <v>21</v>
      </c>
      <c r="L25" t="s">
        <v>17</v>
      </c>
      <c r="M25">
        <v>2024</v>
      </c>
      <c r="N25">
        <v>3</v>
      </c>
      <c r="O25" s="4" t="s">
        <v>159</v>
      </c>
      <c r="P25" t="str">
        <f>TEXT(Table1[[#This Row],[Order_Date]],"mmm")</f>
        <v>Mar</v>
      </c>
      <c r="Q25">
        <f>YEAR(Table1[[#This Row],[Order_Date]])</f>
        <v>2024</v>
      </c>
      <c r="R25">
        <f>Table1[[#This Row],[Profit]]/Table1[[#This Row],[Sales]]</f>
        <v>0.25234567901234567</v>
      </c>
      <c r="S25">
        <f t="shared" si="0"/>
        <v>16524</v>
      </c>
    </row>
    <row r="26" spans="1:19" x14ac:dyDescent="0.2">
      <c r="A26" t="s">
        <v>71</v>
      </c>
      <c r="B26" s="3">
        <v>45384</v>
      </c>
      <c r="C26" t="s">
        <v>28</v>
      </c>
      <c r="D26" t="s">
        <v>14</v>
      </c>
      <c r="E26" t="s">
        <v>15</v>
      </c>
      <c r="F26">
        <v>2</v>
      </c>
      <c r="G26">
        <v>43975</v>
      </c>
      <c r="H26">
        <v>0</v>
      </c>
      <c r="I26">
        <v>87950</v>
      </c>
      <c r="J26">
        <v>24236.560000000001</v>
      </c>
      <c r="K26" t="s">
        <v>21</v>
      </c>
      <c r="L26" t="s">
        <v>26</v>
      </c>
      <c r="M26">
        <v>2024</v>
      </c>
      <c r="N26">
        <v>4</v>
      </c>
      <c r="O26" s="4" t="s">
        <v>160</v>
      </c>
      <c r="P26" t="str">
        <f>TEXT(Table1[[#This Row],[Order_Date]],"mmm")</f>
        <v>Apr</v>
      </c>
      <c r="Q26">
        <f>YEAR(Table1[[#This Row],[Order_Date]])</f>
        <v>2024</v>
      </c>
      <c r="R26">
        <f>Table1[[#This Row],[Profit]]/Table1[[#This Row],[Sales]]</f>
        <v>0.2755720295622513</v>
      </c>
      <c r="S26">
        <f t="shared" si="0"/>
        <v>87950</v>
      </c>
    </row>
    <row r="27" spans="1:19" x14ac:dyDescent="0.2">
      <c r="A27" t="s">
        <v>72</v>
      </c>
      <c r="B27" s="3">
        <v>45415</v>
      </c>
      <c r="C27" t="s">
        <v>34</v>
      </c>
      <c r="D27" t="s">
        <v>14</v>
      </c>
      <c r="E27" t="s">
        <v>15</v>
      </c>
      <c r="F27">
        <v>3</v>
      </c>
      <c r="G27">
        <v>13842</v>
      </c>
      <c r="H27">
        <v>10</v>
      </c>
      <c r="I27">
        <v>37373.4</v>
      </c>
      <c r="J27">
        <v>3818.2</v>
      </c>
      <c r="K27" t="s">
        <v>21</v>
      </c>
      <c r="L27" t="s">
        <v>17</v>
      </c>
      <c r="M27">
        <v>2024</v>
      </c>
      <c r="N27">
        <v>5</v>
      </c>
      <c r="O27" s="4" t="s">
        <v>161</v>
      </c>
      <c r="P27" t="str">
        <f>TEXT(Table1[[#This Row],[Order_Date]],"mmm")</f>
        <v>May</v>
      </c>
      <c r="Q27">
        <f>YEAR(Table1[[#This Row],[Order_Date]])</f>
        <v>2024</v>
      </c>
      <c r="R27">
        <f>Table1[[#This Row],[Profit]]/Table1[[#This Row],[Sales]]</f>
        <v>0.10216357088196416</v>
      </c>
      <c r="S27">
        <f t="shared" si="0"/>
        <v>37373.4</v>
      </c>
    </row>
    <row r="28" spans="1:19" x14ac:dyDescent="0.2">
      <c r="A28" t="s">
        <v>73</v>
      </c>
      <c r="B28" s="3">
        <v>45405</v>
      </c>
      <c r="C28" t="s">
        <v>58</v>
      </c>
      <c r="D28" t="s">
        <v>44</v>
      </c>
      <c r="E28" t="s">
        <v>20</v>
      </c>
      <c r="F28">
        <v>3</v>
      </c>
      <c r="G28">
        <v>9073</v>
      </c>
      <c r="H28">
        <v>10</v>
      </c>
      <c r="I28">
        <v>24497.1</v>
      </c>
      <c r="J28">
        <v>-866.39</v>
      </c>
      <c r="K28" t="s">
        <v>32</v>
      </c>
      <c r="L28" t="s">
        <v>17</v>
      </c>
      <c r="M28">
        <v>2024</v>
      </c>
      <c r="N28">
        <v>4</v>
      </c>
      <c r="O28" s="2">
        <v>-3.5367043445958903E-2</v>
      </c>
      <c r="P28" t="str">
        <f>TEXT(Table1[[#This Row],[Order_Date]],"mmm")</f>
        <v>Apr</v>
      </c>
      <c r="Q28">
        <f>YEAR(Table1[[#This Row],[Order_Date]])</f>
        <v>2024</v>
      </c>
      <c r="R28">
        <f>Table1[[#This Row],[Profit]]/Table1[[#This Row],[Sales]]</f>
        <v>-3.5367043445958909E-2</v>
      </c>
      <c r="S28">
        <f t="shared" si="0"/>
        <v>24497.1</v>
      </c>
    </row>
    <row r="29" spans="1:19" x14ac:dyDescent="0.2">
      <c r="A29" t="s">
        <v>74</v>
      </c>
      <c r="B29" s="3">
        <v>45355</v>
      </c>
      <c r="C29" t="s">
        <v>34</v>
      </c>
      <c r="D29" t="s">
        <v>31</v>
      </c>
      <c r="E29" t="s">
        <v>15</v>
      </c>
      <c r="F29">
        <v>0</v>
      </c>
      <c r="G29">
        <v>28666</v>
      </c>
      <c r="H29">
        <v>5</v>
      </c>
      <c r="I29">
        <v>0</v>
      </c>
      <c r="J29">
        <v>0</v>
      </c>
      <c r="K29" t="s">
        <v>32</v>
      </c>
      <c r="L29" t="s">
        <v>17</v>
      </c>
      <c r="M29">
        <v>2024</v>
      </c>
      <c r="N29">
        <v>3</v>
      </c>
      <c r="O29" s="2"/>
      <c r="P29" t="str">
        <f>TEXT(Table1[[#This Row],[Order_Date]],"mmm")</f>
        <v>Mar</v>
      </c>
      <c r="Q29">
        <f>YEAR(Table1[[#This Row],[Order_Date]])</f>
        <v>2024</v>
      </c>
      <c r="R29" t="e">
        <f>Table1[[#This Row],[Profit]]/Table1[[#This Row],[Sales]]</f>
        <v>#DIV/0!</v>
      </c>
      <c r="S29">
        <f t="shared" si="0"/>
        <v>0</v>
      </c>
    </row>
    <row r="30" spans="1:19" x14ac:dyDescent="0.2">
      <c r="A30" t="s">
        <v>75</v>
      </c>
      <c r="B30" s="3">
        <v>45294</v>
      </c>
      <c r="C30" t="s">
        <v>70</v>
      </c>
      <c r="D30" t="s">
        <v>31</v>
      </c>
      <c r="E30" t="s">
        <v>15</v>
      </c>
      <c r="F30">
        <v>1</v>
      </c>
      <c r="G30">
        <v>41175</v>
      </c>
      <c r="H30">
        <v>5</v>
      </c>
      <c r="I30">
        <v>156465</v>
      </c>
      <c r="J30">
        <v>42293.35</v>
      </c>
      <c r="K30" t="s">
        <v>21</v>
      </c>
      <c r="L30" t="s">
        <v>36</v>
      </c>
      <c r="M30">
        <v>2024</v>
      </c>
      <c r="N30">
        <v>1</v>
      </c>
      <c r="O30" s="4" t="s">
        <v>162</v>
      </c>
      <c r="P30" t="str">
        <f>TEXT(Table1[[#This Row],[Order_Date]],"mmm")</f>
        <v>Jan</v>
      </c>
      <c r="Q30">
        <f>YEAR(Table1[[#This Row],[Order_Date]])</f>
        <v>2024</v>
      </c>
      <c r="R30">
        <f>Table1[[#This Row],[Profit]]/Table1[[#This Row],[Sales]]</f>
        <v>0.27030549963250566</v>
      </c>
      <c r="S30">
        <f t="shared" si="0"/>
        <v>156465</v>
      </c>
    </row>
    <row r="31" spans="1:19" x14ac:dyDescent="0.2">
      <c r="A31" t="s">
        <v>76</v>
      </c>
      <c r="B31" s="3">
        <v>45319</v>
      </c>
      <c r="C31" t="s">
        <v>34</v>
      </c>
      <c r="D31" t="s">
        <v>14</v>
      </c>
      <c r="E31" t="s">
        <v>15</v>
      </c>
      <c r="F31">
        <v>1</v>
      </c>
      <c r="G31">
        <v>17985</v>
      </c>
      <c r="H31">
        <v>5</v>
      </c>
      <c r="I31">
        <v>17085.75</v>
      </c>
      <c r="J31">
        <v>3672.58</v>
      </c>
      <c r="K31" t="s">
        <v>39</v>
      </c>
      <c r="L31" t="s">
        <v>45</v>
      </c>
      <c r="M31">
        <v>2024</v>
      </c>
      <c r="N31">
        <v>1</v>
      </c>
      <c r="O31" s="4" t="s">
        <v>163</v>
      </c>
      <c r="P31" t="str">
        <f>TEXT(Table1[[#This Row],[Order_Date]],"mmm")</f>
        <v>Jan</v>
      </c>
      <c r="Q31">
        <f>YEAR(Table1[[#This Row],[Order_Date]])</f>
        <v>2024</v>
      </c>
      <c r="R31">
        <f>Table1[[#This Row],[Profit]]/Table1[[#This Row],[Sales]]</f>
        <v>0.21494988513819996</v>
      </c>
      <c r="S31">
        <f t="shared" si="0"/>
        <v>17085.75</v>
      </c>
    </row>
    <row r="32" spans="1:19" x14ac:dyDescent="0.2">
      <c r="A32" t="s">
        <v>77</v>
      </c>
      <c r="B32" s="3">
        <v>45630</v>
      </c>
      <c r="C32" t="s">
        <v>43</v>
      </c>
      <c r="D32" t="s">
        <v>31</v>
      </c>
      <c r="E32" t="s">
        <v>15</v>
      </c>
      <c r="F32">
        <v>1</v>
      </c>
      <c r="G32">
        <v>15109</v>
      </c>
      <c r="H32">
        <v>0</v>
      </c>
      <c r="I32">
        <v>15109</v>
      </c>
      <c r="J32">
        <v>2478.08</v>
      </c>
      <c r="K32" t="s">
        <v>39</v>
      </c>
      <c r="L32" t="s">
        <v>45</v>
      </c>
      <c r="M32">
        <v>2024</v>
      </c>
      <c r="N32">
        <v>12</v>
      </c>
      <c r="O32" s="4" t="s">
        <v>164</v>
      </c>
      <c r="P32" t="str">
        <f>TEXT(Table1[[#This Row],[Order_Date]],"mmm")</f>
        <v>Dec</v>
      </c>
      <c r="Q32">
        <f>YEAR(Table1[[#This Row],[Order_Date]])</f>
        <v>2024</v>
      </c>
      <c r="R32">
        <f>Table1[[#This Row],[Profit]]/Table1[[#This Row],[Sales]]</f>
        <v>0.16401350188629293</v>
      </c>
      <c r="S32">
        <f t="shared" si="0"/>
        <v>15109</v>
      </c>
    </row>
    <row r="33" spans="1:19" x14ac:dyDescent="0.2">
      <c r="A33" t="s">
        <v>79</v>
      </c>
      <c r="B33" s="3">
        <v>45627</v>
      </c>
      <c r="C33" t="s">
        <v>51</v>
      </c>
      <c r="D33" t="s">
        <v>48</v>
      </c>
      <c r="E33" t="s">
        <v>20</v>
      </c>
      <c r="F33">
        <v>-1</v>
      </c>
      <c r="G33">
        <v>25744</v>
      </c>
      <c r="H33">
        <v>20</v>
      </c>
      <c r="I33">
        <v>-20595.2</v>
      </c>
      <c r="J33">
        <v>493.64</v>
      </c>
      <c r="K33" t="s">
        <v>32</v>
      </c>
      <c r="L33" t="s">
        <v>45</v>
      </c>
      <c r="M33">
        <v>2024</v>
      </c>
      <c r="N33">
        <v>12</v>
      </c>
      <c r="O33" s="2">
        <v>-2.3968691733996201E-2</v>
      </c>
      <c r="P33" t="str">
        <f>TEXT(Table1[[#This Row],[Order_Date]],"mmm")</f>
        <v>Dec</v>
      </c>
      <c r="Q33">
        <f>YEAR(Table1[[#This Row],[Order_Date]])</f>
        <v>2024</v>
      </c>
      <c r="R33">
        <f>Table1[[#This Row],[Profit]]/Table1[[#This Row],[Sales]]</f>
        <v>-2.396869173399627E-2</v>
      </c>
      <c r="S33">
        <f t="shared" si="0"/>
        <v>0</v>
      </c>
    </row>
    <row r="34" spans="1:19" x14ac:dyDescent="0.2">
      <c r="A34" t="s">
        <v>80</v>
      </c>
      <c r="B34" s="3">
        <v>45461</v>
      </c>
      <c r="C34" t="s">
        <v>25</v>
      </c>
      <c r="D34" t="s">
        <v>35</v>
      </c>
      <c r="E34" t="s">
        <v>15</v>
      </c>
      <c r="F34">
        <v>-1</v>
      </c>
      <c r="G34">
        <v>44031</v>
      </c>
      <c r="H34">
        <v>10</v>
      </c>
      <c r="I34">
        <v>-39627.9</v>
      </c>
      <c r="J34">
        <v>-5914.95</v>
      </c>
      <c r="K34" t="s">
        <v>21</v>
      </c>
      <c r="L34" t="s">
        <v>36</v>
      </c>
      <c r="M34">
        <v>2024</v>
      </c>
      <c r="N34">
        <v>6</v>
      </c>
      <c r="O34" s="4" t="s">
        <v>165</v>
      </c>
      <c r="P34" t="str">
        <f>TEXT(Table1[[#This Row],[Order_Date]],"mmm")</f>
        <v>Jun</v>
      </c>
      <c r="Q34">
        <f>YEAR(Table1[[#This Row],[Order_Date]])</f>
        <v>2024</v>
      </c>
      <c r="R34">
        <f>Table1[[#This Row],[Profit]]/Table1[[#This Row],[Sales]]</f>
        <v>0.14926226219406025</v>
      </c>
      <c r="S34">
        <f t="shared" ref="S34:S65" si="1">IF(I34&lt;0,0,I34)</f>
        <v>0</v>
      </c>
    </row>
    <row r="35" spans="1:19" x14ac:dyDescent="0.2">
      <c r="A35" t="s">
        <v>81</v>
      </c>
      <c r="B35" s="3">
        <v>45462</v>
      </c>
      <c r="C35" t="s">
        <v>70</v>
      </c>
      <c r="D35" t="s">
        <v>14</v>
      </c>
      <c r="E35" t="s">
        <v>15</v>
      </c>
      <c r="F35">
        <v>2</v>
      </c>
      <c r="G35">
        <v>36833</v>
      </c>
      <c r="H35">
        <v>5</v>
      </c>
      <c r="I35">
        <v>69982.7</v>
      </c>
      <c r="J35">
        <v>-1628.07</v>
      </c>
      <c r="K35" t="s">
        <v>16</v>
      </c>
      <c r="L35" t="s">
        <v>45</v>
      </c>
      <c r="M35">
        <v>2024</v>
      </c>
      <c r="N35">
        <v>6</v>
      </c>
      <c r="O35" s="2">
        <v>-2.32638923619694E-2</v>
      </c>
      <c r="P35" t="str">
        <f>TEXT(Table1[[#This Row],[Order_Date]],"mmm")</f>
        <v>Jun</v>
      </c>
      <c r="Q35">
        <f>YEAR(Table1[[#This Row],[Order_Date]])</f>
        <v>2024</v>
      </c>
      <c r="R35">
        <f>Table1[[#This Row],[Profit]]/Table1[[#This Row],[Sales]]</f>
        <v>-2.3263892361969459E-2</v>
      </c>
      <c r="S35">
        <f t="shared" si="1"/>
        <v>69982.7</v>
      </c>
    </row>
    <row r="36" spans="1:19" x14ac:dyDescent="0.2">
      <c r="A36" t="s">
        <v>82</v>
      </c>
      <c r="B36" s="3">
        <v>45374</v>
      </c>
      <c r="C36" t="s">
        <v>63</v>
      </c>
      <c r="D36" t="s">
        <v>31</v>
      </c>
      <c r="E36" t="s">
        <v>15</v>
      </c>
      <c r="F36">
        <v>1</v>
      </c>
      <c r="G36">
        <v>28673</v>
      </c>
      <c r="H36">
        <v>20</v>
      </c>
      <c r="I36">
        <v>22938.400000000001</v>
      </c>
      <c r="J36">
        <v>3272.5</v>
      </c>
      <c r="K36" t="s">
        <v>32</v>
      </c>
      <c r="L36" t="s">
        <v>17</v>
      </c>
      <c r="M36">
        <v>2024</v>
      </c>
      <c r="N36">
        <v>3</v>
      </c>
      <c r="O36" s="4" t="s">
        <v>166</v>
      </c>
      <c r="P36" t="str">
        <f>TEXT(Table1[[#This Row],[Order_Date]],"mmm")</f>
        <v>Mar</v>
      </c>
      <c r="Q36">
        <f>YEAR(Table1[[#This Row],[Order_Date]])</f>
        <v>2024</v>
      </c>
      <c r="R36">
        <f>Table1[[#This Row],[Profit]]/Table1[[#This Row],[Sales]]</f>
        <v>0.14266470198444528</v>
      </c>
      <c r="S36">
        <f t="shared" si="1"/>
        <v>22938.400000000001</v>
      </c>
    </row>
    <row r="37" spans="1:19" x14ac:dyDescent="0.2">
      <c r="A37" t="s">
        <v>83</v>
      </c>
      <c r="B37" s="3">
        <v>45349</v>
      </c>
      <c r="C37" t="s">
        <v>84</v>
      </c>
      <c r="D37" t="s">
        <v>31</v>
      </c>
      <c r="E37" t="s">
        <v>20</v>
      </c>
      <c r="F37">
        <v>3</v>
      </c>
      <c r="G37">
        <v>6620</v>
      </c>
      <c r="H37">
        <v>5</v>
      </c>
      <c r="I37">
        <v>18867</v>
      </c>
      <c r="J37">
        <v>3190.75</v>
      </c>
      <c r="K37" t="s">
        <v>39</v>
      </c>
      <c r="L37" t="s">
        <v>17</v>
      </c>
      <c r="M37">
        <v>2024</v>
      </c>
      <c r="N37">
        <v>2</v>
      </c>
      <c r="O37" s="4" t="s">
        <v>167</v>
      </c>
      <c r="P37" t="str">
        <f>TEXT(Table1[[#This Row],[Order_Date]],"mmm")</f>
        <v>Feb</v>
      </c>
      <c r="Q37">
        <f>YEAR(Table1[[#This Row],[Order_Date]])</f>
        <v>2024</v>
      </c>
      <c r="R37">
        <f>Table1[[#This Row],[Profit]]/Table1[[#This Row],[Sales]]</f>
        <v>0.16911803678380241</v>
      </c>
      <c r="S37">
        <f t="shared" si="1"/>
        <v>18867</v>
      </c>
    </row>
    <row r="38" spans="1:19" x14ac:dyDescent="0.2">
      <c r="A38" t="s">
        <v>86</v>
      </c>
      <c r="B38" s="3">
        <v>45470</v>
      </c>
      <c r="C38" t="s">
        <v>23</v>
      </c>
      <c r="D38" t="s">
        <v>35</v>
      </c>
      <c r="E38" t="s">
        <v>15</v>
      </c>
      <c r="F38">
        <v>4</v>
      </c>
      <c r="G38">
        <v>41772</v>
      </c>
      <c r="H38">
        <v>20</v>
      </c>
      <c r="I38">
        <v>133670.39999999999</v>
      </c>
      <c r="J38">
        <v>-2970.95</v>
      </c>
      <c r="K38" t="s">
        <v>16</v>
      </c>
      <c r="L38" t="s">
        <v>17</v>
      </c>
      <c r="M38">
        <v>2024</v>
      </c>
      <c r="N38">
        <v>6</v>
      </c>
      <c r="O38" s="2">
        <v>-2.2225937829167802E-2</v>
      </c>
      <c r="P38" t="str">
        <f>TEXT(Table1[[#This Row],[Order_Date]],"mmm")</f>
        <v>Jun</v>
      </c>
      <c r="Q38">
        <f>YEAR(Table1[[#This Row],[Order_Date]])</f>
        <v>2024</v>
      </c>
      <c r="R38">
        <f>Table1[[#This Row],[Profit]]/Table1[[#This Row],[Sales]]</f>
        <v>-2.2225937829167864E-2</v>
      </c>
      <c r="S38">
        <f t="shared" si="1"/>
        <v>133670.39999999999</v>
      </c>
    </row>
    <row r="39" spans="1:19" x14ac:dyDescent="0.2">
      <c r="A39" t="s">
        <v>87</v>
      </c>
      <c r="B39" s="3">
        <v>45434</v>
      </c>
      <c r="C39" t="s">
        <v>28</v>
      </c>
      <c r="D39" t="s">
        <v>35</v>
      </c>
      <c r="E39" t="s">
        <v>15</v>
      </c>
      <c r="F39">
        <v>1</v>
      </c>
      <c r="G39">
        <v>12026</v>
      </c>
      <c r="H39">
        <v>20</v>
      </c>
      <c r="I39">
        <v>9620.7999999999993</v>
      </c>
      <c r="J39">
        <v>825.66</v>
      </c>
      <c r="K39" t="s">
        <v>21</v>
      </c>
      <c r="L39" t="s">
        <v>36</v>
      </c>
      <c r="M39">
        <v>2024</v>
      </c>
      <c r="N39">
        <v>5</v>
      </c>
      <c r="O39" s="2">
        <v>8.5820306003658697E-2</v>
      </c>
      <c r="P39" t="str">
        <f>TEXT(Table1[[#This Row],[Order_Date]],"mmm")</f>
        <v>May</v>
      </c>
      <c r="Q39">
        <f>YEAR(Table1[[#This Row],[Order_Date]])</f>
        <v>2024</v>
      </c>
      <c r="R39">
        <f>Table1[[#This Row],[Profit]]/Table1[[#This Row],[Sales]]</f>
        <v>8.5820306003658739E-2</v>
      </c>
      <c r="S39">
        <f t="shared" si="1"/>
        <v>9620.7999999999993</v>
      </c>
    </row>
    <row r="40" spans="1:19" x14ac:dyDescent="0.2">
      <c r="A40" t="s">
        <v>88</v>
      </c>
      <c r="B40" s="3">
        <v>45296</v>
      </c>
      <c r="C40" t="s">
        <v>61</v>
      </c>
      <c r="D40" t="s">
        <v>48</v>
      </c>
      <c r="E40" t="s">
        <v>20</v>
      </c>
      <c r="F40">
        <v>4</v>
      </c>
      <c r="G40">
        <v>36405</v>
      </c>
      <c r="H40">
        <v>15</v>
      </c>
      <c r="I40">
        <v>123777</v>
      </c>
      <c r="J40">
        <v>32043.79</v>
      </c>
      <c r="K40" t="s">
        <v>39</v>
      </c>
      <c r="L40" t="s">
        <v>26</v>
      </c>
      <c r="M40">
        <v>2024</v>
      </c>
      <c r="N40">
        <v>1</v>
      </c>
      <c r="O40" s="4" t="s">
        <v>168</v>
      </c>
      <c r="P40" t="str">
        <f>TEXT(Table1[[#This Row],[Order_Date]],"mmm")</f>
        <v>Jan</v>
      </c>
      <c r="Q40">
        <f>YEAR(Table1[[#This Row],[Order_Date]])</f>
        <v>2024</v>
      </c>
      <c r="R40">
        <f>Table1[[#This Row],[Profit]]/Table1[[#This Row],[Sales]]</f>
        <v>0.25888323355712289</v>
      </c>
      <c r="S40">
        <f t="shared" si="1"/>
        <v>123777</v>
      </c>
    </row>
    <row r="41" spans="1:19" x14ac:dyDescent="0.2">
      <c r="A41" t="s">
        <v>89</v>
      </c>
      <c r="B41" s="3">
        <v>45377</v>
      </c>
      <c r="C41" t="s">
        <v>13</v>
      </c>
      <c r="D41" t="s">
        <v>31</v>
      </c>
      <c r="E41" t="s">
        <v>15</v>
      </c>
      <c r="F41">
        <v>5</v>
      </c>
      <c r="G41">
        <v>5577</v>
      </c>
      <c r="H41">
        <v>10</v>
      </c>
      <c r="I41">
        <v>25096.5</v>
      </c>
      <c r="J41">
        <v>-155.66</v>
      </c>
      <c r="K41" t="s">
        <v>39</v>
      </c>
      <c r="L41" t="s">
        <v>26</v>
      </c>
      <c r="M41">
        <v>2024</v>
      </c>
      <c r="N41">
        <v>3</v>
      </c>
      <c r="O41" s="2">
        <v>-6.2024585101508097E-3</v>
      </c>
      <c r="P41" t="str">
        <f>TEXT(Table1[[#This Row],[Order_Date]],"mmm")</f>
        <v>Mar</v>
      </c>
      <c r="Q41">
        <f>YEAR(Table1[[#This Row],[Order_Date]])</f>
        <v>2024</v>
      </c>
      <c r="R41">
        <f>Table1[[#This Row],[Profit]]/Table1[[#This Row],[Sales]]</f>
        <v>-6.2024585101508175E-3</v>
      </c>
      <c r="S41">
        <f t="shared" si="1"/>
        <v>25096.5</v>
      </c>
    </row>
    <row r="42" spans="1:19" x14ac:dyDescent="0.2">
      <c r="A42" t="s">
        <v>90</v>
      </c>
      <c r="B42" s="3">
        <v>45430</v>
      </c>
      <c r="C42" t="s">
        <v>34</v>
      </c>
      <c r="D42" t="s">
        <v>14</v>
      </c>
      <c r="E42" t="s">
        <v>15</v>
      </c>
      <c r="F42">
        <v>1</v>
      </c>
      <c r="G42">
        <v>4709</v>
      </c>
      <c r="H42">
        <v>15</v>
      </c>
      <c r="I42">
        <v>4002.65</v>
      </c>
      <c r="J42">
        <v>252.33</v>
      </c>
      <c r="K42" t="s">
        <v>16</v>
      </c>
      <c r="L42" t="s">
        <v>36</v>
      </c>
      <c r="M42">
        <v>2024</v>
      </c>
      <c r="N42">
        <v>5</v>
      </c>
      <c r="O42" s="2">
        <v>6.3040735512722795E-2</v>
      </c>
      <c r="P42" t="str">
        <f>TEXT(Table1[[#This Row],[Order_Date]],"mmm")</f>
        <v>May</v>
      </c>
      <c r="Q42">
        <f>YEAR(Table1[[#This Row],[Order_Date]])</f>
        <v>2024</v>
      </c>
      <c r="R42">
        <f>Table1[[#This Row],[Profit]]/Table1[[#This Row],[Sales]]</f>
        <v>6.3040735512722823E-2</v>
      </c>
      <c r="S42">
        <f t="shared" si="1"/>
        <v>4002.65</v>
      </c>
    </row>
    <row r="43" spans="1:19" x14ac:dyDescent="0.2">
      <c r="A43" t="s">
        <v>91</v>
      </c>
      <c r="B43" s="3">
        <v>45399</v>
      </c>
      <c r="C43" t="s">
        <v>13</v>
      </c>
      <c r="D43" t="s">
        <v>35</v>
      </c>
      <c r="E43" t="s">
        <v>15</v>
      </c>
      <c r="F43">
        <v>-2</v>
      </c>
      <c r="G43">
        <v>23552</v>
      </c>
      <c r="H43">
        <v>10</v>
      </c>
      <c r="I43">
        <v>-42393.599999999999</v>
      </c>
      <c r="J43">
        <v>-8537.65</v>
      </c>
      <c r="K43" t="s">
        <v>39</v>
      </c>
      <c r="L43" t="s">
        <v>26</v>
      </c>
      <c r="M43">
        <v>2024</v>
      </c>
      <c r="N43">
        <v>4</v>
      </c>
      <c r="O43" s="4" t="s">
        <v>169</v>
      </c>
      <c r="P43" t="str">
        <f>TEXT(Table1[[#This Row],[Order_Date]],"mmm")</f>
        <v>Apr</v>
      </c>
      <c r="Q43">
        <f>YEAR(Table1[[#This Row],[Order_Date]])</f>
        <v>2024</v>
      </c>
      <c r="R43">
        <f>Table1[[#This Row],[Profit]]/Table1[[#This Row],[Sales]]</f>
        <v>0.20139006831219808</v>
      </c>
      <c r="S43">
        <f t="shared" si="1"/>
        <v>0</v>
      </c>
    </row>
    <row r="44" spans="1:19" x14ac:dyDescent="0.2">
      <c r="A44" t="s">
        <v>92</v>
      </c>
      <c r="B44" s="3">
        <v>45463</v>
      </c>
      <c r="C44" t="s">
        <v>23</v>
      </c>
      <c r="D44" t="s">
        <v>31</v>
      </c>
      <c r="E44" t="s">
        <v>15</v>
      </c>
      <c r="F44">
        <v>4</v>
      </c>
      <c r="G44">
        <v>32327</v>
      </c>
      <c r="H44">
        <v>0</v>
      </c>
      <c r="I44">
        <v>129308</v>
      </c>
      <c r="J44">
        <v>7182.14</v>
      </c>
      <c r="K44" t="s">
        <v>32</v>
      </c>
      <c r="L44" t="s">
        <v>17</v>
      </c>
      <c r="M44">
        <v>2024</v>
      </c>
      <c r="N44">
        <v>6</v>
      </c>
      <c r="O44" s="2">
        <v>5.5542889844402497E-2</v>
      </c>
      <c r="P44" t="str">
        <f>TEXT(Table1[[#This Row],[Order_Date]],"mmm")</f>
        <v>Jun</v>
      </c>
      <c r="Q44">
        <f>YEAR(Table1[[#This Row],[Order_Date]])</f>
        <v>2024</v>
      </c>
      <c r="R44">
        <f>Table1[[#This Row],[Profit]]/Table1[[#This Row],[Sales]]</f>
        <v>5.5542889844402511E-2</v>
      </c>
      <c r="S44">
        <f t="shared" si="1"/>
        <v>129308</v>
      </c>
    </row>
    <row r="45" spans="1:19" x14ac:dyDescent="0.2">
      <c r="A45" t="s">
        <v>93</v>
      </c>
      <c r="B45" s="3">
        <v>45410</v>
      </c>
      <c r="C45" t="s">
        <v>94</v>
      </c>
      <c r="D45" t="s">
        <v>35</v>
      </c>
      <c r="E45" t="s">
        <v>15</v>
      </c>
      <c r="F45">
        <v>-2</v>
      </c>
      <c r="G45">
        <v>6001</v>
      </c>
      <c r="H45">
        <v>15</v>
      </c>
      <c r="I45">
        <v>-10201.700000000001</v>
      </c>
      <c r="J45">
        <v>466.42</v>
      </c>
      <c r="K45" t="s">
        <v>21</v>
      </c>
      <c r="L45" t="s">
        <v>45</v>
      </c>
      <c r="M45">
        <v>2024</v>
      </c>
      <c r="N45">
        <v>4</v>
      </c>
      <c r="O45" s="2">
        <v>-4.5719831008557303E-2</v>
      </c>
      <c r="P45" t="str">
        <f>TEXT(Table1[[#This Row],[Order_Date]],"mmm")</f>
        <v>Apr</v>
      </c>
      <c r="Q45">
        <f>YEAR(Table1[[#This Row],[Order_Date]])</f>
        <v>2024</v>
      </c>
      <c r="R45">
        <f>Table1[[#This Row],[Profit]]/Table1[[#This Row],[Sales]]</f>
        <v>-4.5719831008557393E-2</v>
      </c>
      <c r="S45">
        <f t="shared" si="1"/>
        <v>0</v>
      </c>
    </row>
    <row r="46" spans="1:19" x14ac:dyDescent="0.2">
      <c r="A46" t="s">
        <v>95</v>
      </c>
      <c r="B46" s="3">
        <v>45312</v>
      </c>
      <c r="C46" t="s">
        <v>13</v>
      </c>
      <c r="D46" t="s">
        <v>35</v>
      </c>
      <c r="E46" t="s">
        <v>15</v>
      </c>
      <c r="F46">
        <v>2</v>
      </c>
      <c r="G46">
        <v>49783</v>
      </c>
      <c r="H46">
        <v>15</v>
      </c>
      <c r="I46">
        <v>84631.1</v>
      </c>
      <c r="J46">
        <v>76.900000000000006</v>
      </c>
      <c r="K46" t="s">
        <v>32</v>
      </c>
      <c r="L46" t="s">
        <v>17</v>
      </c>
      <c r="M46">
        <v>2024</v>
      </c>
      <c r="N46">
        <v>1</v>
      </c>
      <c r="O46" s="2">
        <v>9.0864942083938405E-4</v>
      </c>
      <c r="P46" t="str">
        <f>TEXT(Table1[[#This Row],[Order_Date]],"mmm")</f>
        <v>Jan</v>
      </c>
      <c r="Q46">
        <f>YEAR(Table1[[#This Row],[Order_Date]])</f>
        <v>2024</v>
      </c>
      <c r="R46">
        <f>Table1[[#This Row],[Profit]]/Table1[[#This Row],[Sales]]</f>
        <v>9.0864942083938415E-4</v>
      </c>
      <c r="S46">
        <f t="shared" si="1"/>
        <v>84631.1</v>
      </c>
    </row>
    <row r="47" spans="1:19" x14ac:dyDescent="0.2">
      <c r="A47" t="s">
        <v>96</v>
      </c>
      <c r="B47" s="3">
        <v>45343</v>
      </c>
      <c r="C47" t="s">
        <v>30</v>
      </c>
      <c r="D47" t="s">
        <v>14</v>
      </c>
      <c r="E47" t="s">
        <v>15</v>
      </c>
      <c r="F47">
        <v>-2</v>
      </c>
      <c r="G47">
        <v>49929</v>
      </c>
      <c r="H47">
        <v>0</v>
      </c>
      <c r="I47">
        <v>-99858</v>
      </c>
      <c r="J47">
        <v>-27944.73</v>
      </c>
      <c r="K47" t="s">
        <v>16</v>
      </c>
      <c r="L47" t="s">
        <v>26</v>
      </c>
      <c r="M47">
        <v>2024</v>
      </c>
      <c r="N47">
        <v>2</v>
      </c>
      <c r="O47" s="4" t="s">
        <v>170</v>
      </c>
      <c r="P47" t="str">
        <f>TEXT(Table1[[#This Row],[Order_Date]],"mmm")</f>
        <v>Feb</v>
      </c>
      <c r="Q47">
        <f>YEAR(Table1[[#This Row],[Order_Date]])</f>
        <v>2024</v>
      </c>
      <c r="R47">
        <f>Table1[[#This Row],[Profit]]/Table1[[#This Row],[Sales]]</f>
        <v>0.27984467944481162</v>
      </c>
      <c r="S47">
        <f t="shared" si="1"/>
        <v>0</v>
      </c>
    </row>
    <row r="48" spans="1:19" x14ac:dyDescent="0.2">
      <c r="A48" t="s">
        <v>97</v>
      </c>
      <c r="B48" s="3">
        <v>45321</v>
      </c>
      <c r="C48" t="s">
        <v>70</v>
      </c>
      <c r="D48" t="s">
        <v>35</v>
      </c>
      <c r="E48" t="s">
        <v>15</v>
      </c>
      <c r="F48">
        <v>2</v>
      </c>
      <c r="G48">
        <v>24675</v>
      </c>
      <c r="H48">
        <v>5</v>
      </c>
      <c r="I48">
        <v>46882.5</v>
      </c>
      <c r="J48">
        <v>6674.06</v>
      </c>
      <c r="K48" t="s">
        <v>16</v>
      </c>
      <c r="L48" t="s">
        <v>45</v>
      </c>
      <c r="M48">
        <v>2024</v>
      </c>
      <c r="N48">
        <v>1</v>
      </c>
      <c r="O48" s="4" t="s">
        <v>171</v>
      </c>
      <c r="P48" t="str">
        <f>TEXT(Table1[[#This Row],[Order_Date]],"mmm")</f>
        <v>Jan</v>
      </c>
      <c r="Q48">
        <f>YEAR(Table1[[#This Row],[Order_Date]])</f>
        <v>2024</v>
      </c>
      <c r="R48">
        <f>Table1[[#This Row],[Profit]]/Table1[[#This Row],[Sales]]</f>
        <v>0.14235716951954355</v>
      </c>
      <c r="S48">
        <f t="shared" si="1"/>
        <v>46882.5</v>
      </c>
    </row>
    <row r="49" spans="1:19" x14ac:dyDescent="0.2">
      <c r="A49" t="s">
        <v>98</v>
      </c>
      <c r="B49" s="3">
        <v>45468</v>
      </c>
      <c r="C49" t="s">
        <v>61</v>
      </c>
      <c r="D49" t="s">
        <v>48</v>
      </c>
      <c r="E49" t="s">
        <v>20</v>
      </c>
      <c r="F49">
        <v>4</v>
      </c>
      <c r="G49">
        <v>26495</v>
      </c>
      <c r="H49">
        <v>5</v>
      </c>
      <c r="I49">
        <v>100681</v>
      </c>
      <c r="J49">
        <v>-7007.54</v>
      </c>
      <c r="K49" t="s">
        <v>16</v>
      </c>
      <c r="L49" t="s">
        <v>17</v>
      </c>
      <c r="M49">
        <v>2024</v>
      </c>
      <c r="N49">
        <v>6</v>
      </c>
      <c r="O49" s="2">
        <v>-6.96014143681528E-2</v>
      </c>
      <c r="P49" t="str">
        <f>TEXT(Table1[[#This Row],[Order_Date]],"mmm")</f>
        <v>Jun</v>
      </c>
      <c r="Q49">
        <f>YEAR(Table1[[#This Row],[Order_Date]])</f>
        <v>2024</v>
      </c>
      <c r="R49">
        <f>Table1[[#This Row],[Profit]]/Table1[[#This Row],[Sales]]</f>
        <v>-6.9601414368152884E-2</v>
      </c>
      <c r="S49">
        <f t="shared" si="1"/>
        <v>100681</v>
      </c>
    </row>
    <row r="50" spans="1:19" x14ac:dyDescent="0.2">
      <c r="A50" t="s">
        <v>99</v>
      </c>
      <c r="B50" s="3">
        <v>45457</v>
      </c>
      <c r="C50" t="s">
        <v>58</v>
      </c>
      <c r="D50" t="s">
        <v>31</v>
      </c>
      <c r="E50" t="s">
        <v>15</v>
      </c>
      <c r="F50">
        <v>4</v>
      </c>
      <c r="G50">
        <v>43853</v>
      </c>
      <c r="H50">
        <v>10</v>
      </c>
      <c r="I50">
        <v>157870.79999999999</v>
      </c>
      <c r="J50">
        <v>-11432.58</v>
      </c>
      <c r="K50" t="s">
        <v>21</v>
      </c>
      <c r="L50" t="s">
        <v>36</v>
      </c>
      <c r="M50">
        <v>2024</v>
      </c>
      <c r="N50">
        <v>6</v>
      </c>
      <c r="O50" s="2">
        <v>-7.2417318465479302E-2</v>
      </c>
      <c r="P50" t="str">
        <f>TEXT(Table1[[#This Row],[Order_Date]],"mmm")</f>
        <v>Jun</v>
      </c>
      <c r="Q50">
        <f>YEAR(Table1[[#This Row],[Order_Date]])</f>
        <v>2024</v>
      </c>
      <c r="R50">
        <f>Table1[[#This Row],[Profit]]/Table1[[#This Row],[Sales]]</f>
        <v>-7.2417318465479372E-2</v>
      </c>
      <c r="S50">
        <f t="shared" si="1"/>
        <v>157870.79999999999</v>
      </c>
    </row>
    <row r="51" spans="1:19" x14ac:dyDescent="0.2">
      <c r="A51" t="s">
        <v>100</v>
      </c>
      <c r="B51" s="3">
        <v>45458</v>
      </c>
      <c r="C51" t="s">
        <v>13</v>
      </c>
      <c r="D51" t="s">
        <v>14</v>
      </c>
      <c r="E51" t="s">
        <v>15</v>
      </c>
      <c r="F51">
        <v>0</v>
      </c>
      <c r="G51">
        <v>29040</v>
      </c>
      <c r="H51">
        <v>5</v>
      </c>
      <c r="I51">
        <v>0</v>
      </c>
      <c r="J51">
        <v>0</v>
      </c>
      <c r="K51" t="s">
        <v>21</v>
      </c>
      <c r="L51" t="s">
        <v>45</v>
      </c>
      <c r="M51">
        <v>2024</v>
      </c>
      <c r="N51">
        <v>6</v>
      </c>
      <c r="O51" s="2"/>
      <c r="P51" t="str">
        <f>TEXT(Table1[[#This Row],[Order_Date]],"mmm")</f>
        <v>Jun</v>
      </c>
      <c r="Q51">
        <f>YEAR(Table1[[#This Row],[Order_Date]])</f>
        <v>2024</v>
      </c>
      <c r="R51" t="e">
        <f>Table1[[#This Row],[Profit]]/Table1[[#This Row],[Sales]]</f>
        <v>#DIV/0!</v>
      </c>
      <c r="S51">
        <f t="shared" si="1"/>
        <v>0</v>
      </c>
    </row>
    <row r="52" spans="1:19" x14ac:dyDescent="0.2">
      <c r="A52" t="s">
        <v>101</v>
      </c>
      <c r="B52" s="3">
        <v>45410</v>
      </c>
      <c r="C52" t="s">
        <v>23</v>
      </c>
      <c r="D52" t="s">
        <v>19</v>
      </c>
      <c r="E52" t="s">
        <v>20</v>
      </c>
      <c r="F52">
        <v>-1</v>
      </c>
      <c r="G52">
        <v>18779</v>
      </c>
      <c r="H52">
        <v>15</v>
      </c>
      <c r="I52">
        <v>-15962.15</v>
      </c>
      <c r="J52">
        <v>39.18</v>
      </c>
      <c r="K52" t="s">
        <v>21</v>
      </c>
      <c r="L52" t="s">
        <v>26</v>
      </c>
      <c r="M52">
        <v>2024</v>
      </c>
      <c r="N52">
        <v>4</v>
      </c>
      <c r="O52" s="2">
        <v>-2.4545565603631002E-3</v>
      </c>
      <c r="P52" t="str">
        <f>TEXT(Table1[[#This Row],[Order_Date]],"mmm")</f>
        <v>Apr</v>
      </c>
      <c r="Q52">
        <f>YEAR(Table1[[#This Row],[Order_Date]])</f>
        <v>2024</v>
      </c>
      <c r="R52">
        <f>Table1[[#This Row],[Profit]]/Table1[[#This Row],[Sales]]</f>
        <v>-2.4545565603631089E-3</v>
      </c>
      <c r="S52">
        <f t="shared" si="1"/>
        <v>0</v>
      </c>
    </row>
    <row r="53" spans="1:19" x14ac:dyDescent="0.2">
      <c r="A53" t="s">
        <v>102</v>
      </c>
      <c r="B53" s="3">
        <v>45297</v>
      </c>
      <c r="C53" t="s">
        <v>94</v>
      </c>
      <c r="D53" t="s">
        <v>35</v>
      </c>
      <c r="E53" t="s">
        <v>15</v>
      </c>
      <c r="F53">
        <v>1</v>
      </c>
      <c r="G53">
        <v>23753</v>
      </c>
      <c r="H53">
        <v>10</v>
      </c>
      <c r="I53">
        <v>21377.7</v>
      </c>
      <c r="J53">
        <v>772.49</v>
      </c>
      <c r="K53" t="s">
        <v>32</v>
      </c>
      <c r="L53" t="s">
        <v>17</v>
      </c>
      <c r="M53">
        <v>2024</v>
      </c>
      <c r="N53">
        <v>1</v>
      </c>
      <c r="O53" s="4" t="s">
        <v>172</v>
      </c>
      <c r="P53" t="str">
        <f>TEXT(Table1[[#This Row],[Order_Date]],"mmm")</f>
        <v>Jan</v>
      </c>
      <c r="Q53">
        <f>YEAR(Table1[[#This Row],[Order_Date]])</f>
        <v>2024</v>
      </c>
      <c r="R53">
        <f>Table1[[#This Row],[Profit]]/Table1[[#This Row],[Sales]]</f>
        <v>3.6135318579641404E-2</v>
      </c>
      <c r="S53">
        <f t="shared" si="1"/>
        <v>21377.7</v>
      </c>
    </row>
    <row r="54" spans="1:19" x14ac:dyDescent="0.2">
      <c r="A54" t="s">
        <v>103</v>
      </c>
      <c r="B54" s="3">
        <v>45468</v>
      </c>
      <c r="C54" t="s">
        <v>38</v>
      </c>
      <c r="D54" t="s">
        <v>19</v>
      </c>
      <c r="E54" t="s">
        <v>20</v>
      </c>
      <c r="F54">
        <v>1</v>
      </c>
      <c r="G54">
        <v>32519</v>
      </c>
      <c r="H54">
        <v>20</v>
      </c>
      <c r="I54">
        <v>104060.8</v>
      </c>
      <c r="J54">
        <v>21152.01</v>
      </c>
      <c r="K54" t="s">
        <v>21</v>
      </c>
      <c r="L54" t="s">
        <v>26</v>
      </c>
      <c r="M54">
        <v>2024</v>
      </c>
      <c r="N54">
        <v>6</v>
      </c>
      <c r="O54" s="4" t="s">
        <v>173</v>
      </c>
      <c r="P54" t="str">
        <f>TEXT(Table1[[#This Row],[Order_Date]],"mmm")</f>
        <v>Jun</v>
      </c>
      <c r="Q54">
        <f>YEAR(Table1[[#This Row],[Order_Date]])</f>
        <v>2024</v>
      </c>
      <c r="R54">
        <f>Table1[[#This Row],[Profit]]/Table1[[#This Row],[Sales]]</f>
        <v>0.2032658791783265</v>
      </c>
      <c r="S54">
        <f t="shared" si="1"/>
        <v>104060.8</v>
      </c>
    </row>
    <row r="55" spans="1:19" x14ac:dyDescent="0.2">
      <c r="A55" t="s">
        <v>104</v>
      </c>
      <c r="B55" s="3">
        <v>45433</v>
      </c>
      <c r="C55" t="s">
        <v>58</v>
      </c>
      <c r="D55" t="s">
        <v>35</v>
      </c>
      <c r="E55" t="s">
        <v>15</v>
      </c>
      <c r="F55">
        <v>1</v>
      </c>
      <c r="G55">
        <v>20567</v>
      </c>
      <c r="H55">
        <v>20</v>
      </c>
      <c r="I55">
        <v>16453.599999999999</v>
      </c>
      <c r="J55">
        <v>783.33</v>
      </c>
      <c r="K55" t="s">
        <v>21</v>
      </c>
      <c r="L55" t="s">
        <v>36</v>
      </c>
      <c r="M55">
        <v>2024</v>
      </c>
      <c r="N55">
        <v>5</v>
      </c>
      <c r="O55" s="2">
        <v>4.7608426119511799E-2</v>
      </c>
      <c r="P55" t="str">
        <f>TEXT(Table1[[#This Row],[Order_Date]],"mmm")</f>
        <v>May</v>
      </c>
      <c r="Q55">
        <f>YEAR(Table1[[#This Row],[Order_Date]])</f>
        <v>2024</v>
      </c>
      <c r="R55">
        <f>Table1[[#This Row],[Profit]]/Table1[[#This Row],[Sales]]</f>
        <v>4.7608426119511847E-2</v>
      </c>
      <c r="S55">
        <f t="shared" si="1"/>
        <v>16453.599999999999</v>
      </c>
    </row>
    <row r="56" spans="1:19" x14ac:dyDescent="0.2">
      <c r="A56" t="s">
        <v>105</v>
      </c>
      <c r="B56" s="3">
        <v>45341</v>
      </c>
      <c r="C56" t="s">
        <v>13</v>
      </c>
      <c r="D56" t="s">
        <v>31</v>
      </c>
      <c r="E56" t="s">
        <v>15</v>
      </c>
      <c r="F56">
        <v>2</v>
      </c>
      <c r="G56">
        <v>16975</v>
      </c>
      <c r="H56">
        <v>5</v>
      </c>
      <c r="I56">
        <v>32252.5</v>
      </c>
      <c r="J56">
        <v>-1668.67</v>
      </c>
      <c r="K56" t="s">
        <v>32</v>
      </c>
      <c r="L56" t="s">
        <v>26</v>
      </c>
      <c r="M56">
        <v>2024</v>
      </c>
      <c r="N56">
        <v>2</v>
      </c>
      <c r="O56" s="2">
        <v>-5.1737694752344701E-2</v>
      </c>
      <c r="P56" t="str">
        <f>TEXT(Table1[[#This Row],[Order_Date]],"mmm")</f>
        <v>Feb</v>
      </c>
      <c r="Q56">
        <f>YEAR(Table1[[#This Row],[Order_Date]])</f>
        <v>2024</v>
      </c>
      <c r="R56">
        <f>Table1[[#This Row],[Profit]]/Table1[[#This Row],[Sales]]</f>
        <v>-5.1737694752344784E-2</v>
      </c>
      <c r="S56">
        <f t="shared" si="1"/>
        <v>32252.5</v>
      </c>
    </row>
    <row r="57" spans="1:19" x14ac:dyDescent="0.2">
      <c r="A57" t="s">
        <v>106</v>
      </c>
      <c r="B57" s="3">
        <v>45426</v>
      </c>
      <c r="C57" t="s">
        <v>28</v>
      </c>
      <c r="D57" t="s">
        <v>14</v>
      </c>
      <c r="E57" t="s">
        <v>15</v>
      </c>
      <c r="F57">
        <v>5</v>
      </c>
      <c r="G57">
        <v>18620</v>
      </c>
      <c r="H57">
        <v>20</v>
      </c>
      <c r="I57">
        <v>74480</v>
      </c>
      <c r="J57">
        <v>21647.08</v>
      </c>
      <c r="K57" t="s">
        <v>21</v>
      </c>
      <c r="L57" t="s">
        <v>26</v>
      </c>
      <c r="M57">
        <v>2024</v>
      </c>
      <c r="N57">
        <v>5</v>
      </c>
      <c r="O57" s="4" t="s">
        <v>174</v>
      </c>
      <c r="P57" t="str">
        <f>TEXT(Table1[[#This Row],[Order_Date]],"mmm")</f>
        <v>May</v>
      </c>
      <c r="Q57">
        <f>YEAR(Table1[[#This Row],[Order_Date]])</f>
        <v>2024</v>
      </c>
      <c r="R57">
        <f>Table1[[#This Row],[Profit]]/Table1[[#This Row],[Sales]]</f>
        <v>0.29064285714285715</v>
      </c>
      <c r="S57">
        <f t="shared" si="1"/>
        <v>74480</v>
      </c>
    </row>
    <row r="58" spans="1:19" x14ac:dyDescent="0.2">
      <c r="A58" t="s">
        <v>107</v>
      </c>
      <c r="B58" s="3">
        <v>45627</v>
      </c>
      <c r="C58" t="s">
        <v>13</v>
      </c>
      <c r="D58" t="s">
        <v>31</v>
      </c>
      <c r="E58" t="s">
        <v>15</v>
      </c>
      <c r="F58">
        <v>-2</v>
      </c>
      <c r="G58">
        <v>46900</v>
      </c>
      <c r="H58">
        <v>20</v>
      </c>
      <c r="I58">
        <v>-75040</v>
      </c>
      <c r="J58">
        <v>3704.49</v>
      </c>
      <c r="K58" t="s">
        <v>39</v>
      </c>
      <c r="L58" t="s">
        <v>17</v>
      </c>
      <c r="M58">
        <v>2024</v>
      </c>
      <c r="N58">
        <v>12</v>
      </c>
      <c r="O58" s="2">
        <v>-4.93668710021321E-2</v>
      </c>
      <c r="P58" t="str">
        <f>TEXT(Table1[[#This Row],[Order_Date]],"mmm")</f>
        <v>Dec</v>
      </c>
      <c r="Q58">
        <f>YEAR(Table1[[#This Row],[Order_Date]])</f>
        <v>2024</v>
      </c>
      <c r="R58">
        <f>Table1[[#This Row],[Profit]]/Table1[[#This Row],[Sales]]</f>
        <v>-4.936687100213219E-2</v>
      </c>
      <c r="S58">
        <f t="shared" si="1"/>
        <v>0</v>
      </c>
    </row>
    <row r="59" spans="1:19" x14ac:dyDescent="0.2">
      <c r="A59" t="s">
        <v>108</v>
      </c>
      <c r="B59" s="3">
        <v>45339</v>
      </c>
      <c r="C59" t="s">
        <v>94</v>
      </c>
      <c r="D59" t="s">
        <v>44</v>
      </c>
      <c r="E59" t="s">
        <v>20</v>
      </c>
      <c r="F59">
        <v>2</v>
      </c>
      <c r="G59">
        <v>31262</v>
      </c>
      <c r="H59">
        <v>15</v>
      </c>
      <c r="I59">
        <v>53145.4</v>
      </c>
      <c r="J59">
        <v>4049.02</v>
      </c>
      <c r="K59" t="s">
        <v>16</v>
      </c>
      <c r="L59" t="s">
        <v>36</v>
      </c>
      <c r="M59">
        <v>2024</v>
      </c>
      <c r="N59">
        <v>2</v>
      </c>
      <c r="O59" s="2">
        <v>7.6187591023870294E-2</v>
      </c>
      <c r="P59" t="str">
        <f>TEXT(Table1[[#This Row],[Order_Date]],"mmm")</f>
        <v>Feb</v>
      </c>
      <c r="Q59">
        <f>YEAR(Table1[[#This Row],[Order_Date]])</f>
        <v>2024</v>
      </c>
      <c r="R59">
        <f>Table1[[#This Row],[Profit]]/Table1[[#This Row],[Sales]]</f>
        <v>7.6187591023870363E-2</v>
      </c>
      <c r="S59">
        <f t="shared" si="1"/>
        <v>53145.4</v>
      </c>
    </row>
    <row r="60" spans="1:19" x14ac:dyDescent="0.2">
      <c r="A60" t="s">
        <v>109</v>
      </c>
      <c r="B60" s="3">
        <v>45436</v>
      </c>
      <c r="C60" t="s">
        <v>43</v>
      </c>
      <c r="D60" t="s">
        <v>35</v>
      </c>
      <c r="E60" t="s">
        <v>15</v>
      </c>
      <c r="F60">
        <v>-1</v>
      </c>
      <c r="G60">
        <v>38315</v>
      </c>
      <c r="H60">
        <v>0</v>
      </c>
      <c r="I60">
        <v>-38315</v>
      </c>
      <c r="J60">
        <v>1506.13</v>
      </c>
      <c r="K60" t="s">
        <v>39</v>
      </c>
      <c r="L60" t="s">
        <v>26</v>
      </c>
      <c r="M60">
        <v>2024</v>
      </c>
      <c r="N60">
        <v>5</v>
      </c>
      <c r="O60" s="2">
        <v>-3.9309147853321097E-2</v>
      </c>
      <c r="P60" t="str">
        <f>TEXT(Table1[[#This Row],[Order_Date]],"mmm")</f>
        <v>May</v>
      </c>
      <c r="Q60">
        <f>YEAR(Table1[[#This Row],[Order_Date]])</f>
        <v>2024</v>
      </c>
      <c r="R60">
        <f>Table1[[#This Row],[Profit]]/Table1[[#This Row],[Sales]]</f>
        <v>-3.9309147853321159E-2</v>
      </c>
      <c r="S60">
        <f t="shared" si="1"/>
        <v>0</v>
      </c>
    </row>
    <row r="61" spans="1:19" x14ac:dyDescent="0.2">
      <c r="A61" t="s">
        <v>110</v>
      </c>
      <c r="B61" s="3">
        <v>45442</v>
      </c>
      <c r="C61" t="s">
        <v>25</v>
      </c>
      <c r="D61" t="s">
        <v>48</v>
      </c>
      <c r="E61" t="s">
        <v>20</v>
      </c>
      <c r="F61">
        <v>4</v>
      </c>
      <c r="G61">
        <v>30024</v>
      </c>
      <c r="H61">
        <v>15</v>
      </c>
      <c r="I61">
        <v>102081.60000000001</v>
      </c>
      <c r="J61">
        <v>1933.55</v>
      </c>
      <c r="K61" t="s">
        <v>16</v>
      </c>
      <c r="L61" t="s">
        <v>26</v>
      </c>
      <c r="M61">
        <v>2024</v>
      </c>
      <c r="N61">
        <v>5</v>
      </c>
      <c r="O61" s="4" t="s">
        <v>175</v>
      </c>
      <c r="P61" t="str">
        <f>TEXT(Table1[[#This Row],[Order_Date]],"mmm")</f>
        <v>May</v>
      </c>
      <c r="Q61">
        <f>YEAR(Table1[[#This Row],[Order_Date]])</f>
        <v>2024</v>
      </c>
      <c r="R61">
        <f>Table1[[#This Row],[Profit]]/Table1[[#This Row],[Sales]]</f>
        <v>1.8941219573360916E-2</v>
      </c>
      <c r="S61">
        <f t="shared" si="1"/>
        <v>102081.60000000001</v>
      </c>
    </row>
    <row r="62" spans="1:19" x14ac:dyDescent="0.2">
      <c r="A62" t="s">
        <v>111</v>
      </c>
      <c r="B62" s="3">
        <v>45336</v>
      </c>
      <c r="C62" t="s">
        <v>70</v>
      </c>
      <c r="D62" t="s">
        <v>14</v>
      </c>
      <c r="E62" t="s">
        <v>20</v>
      </c>
      <c r="F62">
        <v>1</v>
      </c>
      <c r="G62">
        <v>17843</v>
      </c>
      <c r="H62">
        <v>0</v>
      </c>
      <c r="I62">
        <v>17843</v>
      </c>
      <c r="J62">
        <v>-663.35</v>
      </c>
      <c r="K62" t="s">
        <v>39</v>
      </c>
      <c r="L62" t="s">
        <v>45</v>
      </c>
      <c r="M62">
        <v>2024</v>
      </c>
      <c r="N62">
        <v>2</v>
      </c>
      <c r="O62" s="2">
        <v>-3.7177044219021398E-2</v>
      </c>
      <c r="P62" t="str">
        <f>TEXT(Table1[[#This Row],[Order_Date]],"mmm")</f>
        <v>Feb</v>
      </c>
      <c r="Q62">
        <f>YEAR(Table1[[#This Row],[Order_Date]])</f>
        <v>2024</v>
      </c>
      <c r="R62">
        <f>Table1[[#This Row],[Profit]]/Table1[[#This Row],[Sales]]</f>
        <v>-3.7177044219021467E-2</v>
      </c>
      <c r="S62">
        <f t="shared" si="1"/>
        <v>17843</v>
      </c>
    </row>
    <row r="63" spans="1:19" x14ac:dyDescent="0.2">
      <c r="A63" t="s">
        <v>112</v>
      </c>
      <c r="B63" s="3">
        <v>45408</v>
      </c>
      <c r="C63" t="s">
        <v>61</v>
      </c>
      <c r="D63" t="s">
        <v>44</v>
      </c>
      <c r="E63" t="s">
        <v>20</v>
      </c>
      <c r="F63">
        <v>1</v>
      </c>
      <c r="G63">
        <v>19381</v>
      </c>
      <c r="H63">
        <v>10</v>
      </c>
      <c r="I63">
        <v>17442.900000000001</v>
      </c>
      <c r="J63">
        <v>3160.57</v>
      </c>
      <c r="K63" t="s">
        <v>32</v>
      </c>
      <c r="L63" t="s">
        <v>36</v>
      </c>
      <c r="M63">
        <v>2024</v>
      </c>
      <c r="N63">
        <v>4</v>
      </c>
      <c r="O63" s="4" t="s">
        <v>176</v>
      </c>
      <c r="P63" t="str">
        <f>TEXT(Table1[[#This Row],[Order_Date]],"mmm")</f>
        <v>Apr</v>
      </c>
      <c r="Q63">
        <f>YEAR(Table1[[#This Row],[Order_Date]])</f>
        <v>2024</v>
      </c>
      <c r="R63">
        <f>Table1[[#This Row],[Profit]]/Table1[[#This Row],[Sales]]</f>
        <v>0.18119521409857306</v>
      </c>
      <c r="S63">
        <f t="shared" si="1"/>
        <v>17442.900000000001</v>
      </c>
    </row>
    <row r="64" spans="1:19" x14ac:dyDescent="0.2">
      <c r="A64" t="s">
        <v>113</v>
      </c>
      <c r="B64" s="3">
        <v>45445</v>
      </c>
      <c r="C64" t="s">
        <v>70</v>
      </c>
      <c r="D64" t="s">
        <v>44</v>
      </c>
      <c r="E64" t="s">
        <v>20</v>
      </c>
      <c r="F64">
        <v>1</v>
      </c>
      <c r="G64">
        <v>42943</v>
      </c>
      <c r="H64">
        <v>5</v>
      </c>
      <c r="I64">
        <v>40795.85</v>
      </c>
      <c r="J64">
        <v>10744.18</v>
      </c>
      <c r="K64" t="s">
        <v>21</v>
      </c>
      <c r="L64" t="s">
        <v>36</v>
      </c>
      <c r="M64">
        <v>2024</v>
      </c>
      <c r="N64">
        <v>6</v>
      </c>
      <c r="O64" s="4" t="s">
        <v>177</v>
      </c>
      <c r="P64" t="str">
        <f>TEXT(Table1[[#This Row],[Order_Date]],"mmm")</f>
        <v>Jun</v>
      </c>
      <c r="Q64">
        <f>YEAR(Table1[[#This Row],[Order_Date]])</f>
        <v>2024</v>
      </c>
      <c r="R64">
        <f>Table1[[#This Row],[Profit]]/Table1[[#This Row],[Sales]]</f>
        <v>0.2633645334022946</v>
      </c>
      <c r="S64">
        <f t="shared" si="1"/>
        <v>40795.85</v>
      </c>
    </row>
    <row r="65" spans="1:19" x14ac:dyDescent="0.2">
      <c r="A65" t="s">
        <v>114</v>
      </c>
      <c r="B65" s="3">
        <v>45568</v>
      </c>
      <c r="C65" t="s">
        <v>38</v>
      </c>
      <c r="D65" t="s">
        <v>44</v>
      </c>
      <c r="E65" t="s">
        <v>20</v>
      </c>
      <c r="F65">
        <v>5</v>
      </c>
      <c r="G65">
        <v>45633</v>
      </c>
      <c r="H65">
        <v>10</v>
      </c>
      <c r="I65">
        <v>205348.5</v>
      </c>
      <c r="J65">
        <v>36940.86</v>
      </c>
      <c r="K65" t="s">
        <v>39</v>
      </c>
      <c r="L65" t="s">
        <v>45</v>
      </c>
      <c r="M65">
        <v>2024</v>
      </c>
      <c r="N65">
        <v>10</v>
      </c>
      <c r="O65" s="4" t="s">
        <v>178</v>
      </c>
      <c r="P65" t="str">
        <f>TEXT(Table1[[#This Row],[Order_Date]],"mmm")</f>
        <v>Oct</v>
      </c>
      <c r="Q65">
        <f>YEAR(Table1[[#This Row],[Order_Date]])</f>
        <v>2024</v>
      </c>
      <c r="R65">
        <f>Table1[[#This Row],[Profit]]/Table1[[#This Row],[Sales]]</f>
        <v>0.17989349812635594</v>
      </c>
      <c r="S65">
        <f t="shared" si="1"/>
        <v>205348.5</v>
      </c>
    </row>
    <row r="66" spans="1:19" x14ac:dyDescent="0.2">
      <c r="A66" t="s">
        <v>115</v>
      </c>
      <c r="B66" s="3">
        <v>45464</v>
      </c>
      <c r="C66" t="s">
        <v>41</v>
      </c>
      <c r="D66" t="s">
        <v>48</v>
      </c>
      <c r="E66" t="s">
        <v>20</v>
      </c>
      <c r="F66">
        <v>1</v>
      </c>
      <c r="G66">
        <v>2195</v>
      </c>
      <c r="H66">
        <v>0</v>
      </c>
      <c r="I66">
        <v>4390</v>
      </c>
      <c r="J66">
        <v>-37.01</v>
      </c>
      <c r="K66" t="s">
        <v>21</v>
      </c>
      <c r="L66" t="s">
        <v>17</v>
      </c>
      <c r="M66">
        <v>2024</v>
      </c>
      <c r="N66">
        <v>6</v>
      </c>
      <c r="O66" s="2">
        <v>-8.4305239179954406E-3</v>
      </c>
      <c r="P66" t="str">
        <f>TEXT(Table1[[#This Row],[Order_Date]],"mmm")</f>
        <v>Jun</v>
      </c>
      <c r="Q66">
        <f>YEAR(Table1[[#This Row],[Order_Date]])</f>
        <v>2024</v>
      </c>
      <c r="R66">
        <f>Table1[[#This Row],[Profit]]/Table1[[#This Row],[Sales]]</f>
        <v>-8.4305239179954441E-3</v>
      </c>
      <c r="S66">
        <f t="shared" ref="S66:S92" si="2">IF(I66&lt;0,0,I66)</f>
        <v>4390</v>
      </c>
    </row>
    <row r="67" spans="1:19" x14ac:dyDescent="0.2">
      <c r="A67" t="s">
        <v>116</v>
      </c>
      <c r="B67" s="3">
        <v>45338</v>
      </c>
      <c r="C67" t="s">
        <v>58</v>
      </c>
      <c r="D67" t="s">
        <v>19</v>
      </c>
      <c r="E67" t="s">
        <v>20</v>
      </c>
      <c r="F67">
        <v>5</v>
      </c>
      <c r="G67">
        <v>34510</v>
      </c>
      <c r="H67">
        <v>15</v>
      </c>
      <c r="I67">
        <v>146667.5</v>
      </c>
      <c r="J67">
        <v>39076.49</v>
      </c>
      <c r="K67" t="s">
        <v>16</v>
      </c>
      <c r="L67" t="s">
        <v>36</v>
      </c>
      <c r="M67">
        <v>2024</v>
      </c>
      <c r="N67">
        <v>2</v>
      </c>
      <c r="O67" s="2">
        <v>0.26642909983466001</v>
      </c>
      <c r="P67" t="str">
        <f>TEXT(Table1[[#This Row],[Order_Date]],"mmm")</f>
        <v>Feb</v>
      </c>
      <c r="Q67">
        <f>YEAR(Table1[[#This Row],[Order_Date]])</f>
        <v>2024</v>
      </c>
      <c r="R67">
        <f>Table1[[#This Row],[Profit]]/Table1[[#This Row],[Sales]]</f>
        <v>0.26642909983466001</v>
      </c>
      <c r="S67">
        <f t="shared" si="2"/>
        <v>146667.5</v>
      </c>
    </row>
    <row r="68" spans="1:19" x14ac:dyDescent="0.2">
      <c r="A68" t="s">
        <v>117</v>
      </c>
      <c r="B68" s="3">
        <v>45598</v>
      </c>
      <c r="C68" t="s">
        <v>38</v>
      </c>
      <c r="D68" t="s">
        <v>31</v>
      </c>
      <c r="E68" t="s">
        <v>15</v>
      </c>
      <c r="F68">
        <v>4</v>
      </c>
      <c r="G68">
        <v>22343</v>
      </c>
      <c r="H68">
        <v>10</v>
      </c>
      <c r="I68">
        <v>80434.8</v>
      </c>
      <c r="J68">
        <v>13517.34</v>
      </c>
      <c r="K68" t="s">
        <v>16</v>
      </c>
      <c r="L68" t="s">
        <v>36</v>
      </c>
      <c r="M68">
        <v>2024</v>
      </c>
      <c r="N68">
        <v>11</v>
      </c>
      <c r="O68" s="4" t="s">
        <v>179</v>
      </c>
      <c r="P68" t="str">
        <f>TEXT(Table1[[#This Row],[Order_Date]],"mmm")</f>
        <v>Nov</v>
      </c>
      <c r="Q68">
        <f>YEAR(Table1[[#This Row],[Order_Date]])</f>
        <v>2024</v>
      </c>
      <c r="R68">
        <f>Table1[[#This Row],[Profit]]/Table1[[#This Row],[Sales]]</f>
        <v>0.1680533798803503</v>
      </c>
      <c r="S68">
        <f t="shared" si="2"/>
        <v>80434.8</v>
      </c>
    </row>
    <row r="69" spans="1:19" x14ac:dyDescent="0.2">
      <c r="A69" t="s">
        <v>118</v>
      </c>
      <c r="B69" s="3">
        <v>45395</v>
      </c>
      <c r="C69" t="s">
        <v>51</v>
      </c>
      <c r="D69" t="s">
        <v>44</v>
      </c>
      <c r="E69" t="s">
        <v>20</v>
      </c>
      <c r="F69">
        <v>3</v>
      </c>
      <c r="G69">
        <v>17041</v>
      </c>
      <c r="H69">
        <v>10</v>
      </c>
      <c r="I69">
        <v>46010.7</v>
      </c>
      <c r="J69">
        <v>-2467.62</v>
      </c>
      <c r="K69" t="s">
        <v>39</v>
      </c>
      <c r="L69" t="s">
        <v>17</v>
      </c>
      <c r="M69">
        <v>2024</v>
      </c>
      <c r="N69">
        <v>4</v>
      </c>
      <c r="O69" s="2">
        <v>-5.3631437904661301E-2</v>
      </c>
      <c r="P69" t="str">
        <f>TEXT(Table1[[#This Row],[Order_Date]],"mmm")</f>
        <v>Apr</v>
      </c>
      <c r="Q69">
        <f>YEAR(Table1[[#This Row],[Order_Date]])</f>
        <v>2024</v>
      </c>
      <c r="R69">
        <f>Table1[[#This Row],[Profit]]/Table1[[#This Row],[Sales]]</f>
        <v>-5.3631437904661308E-2</v>
      </c>
      <c r="S69">
        <f t="shared" si="2"/>
        <v>46010.7</v>
      </c>
    </row>
    <row r="70" spans="1:19" x14ac:dyDescent="0.2">
      <c r="A70" t="s">
        <v>119</v>
      </c>
      <c r="B70" s="3">
        <v>45305</v>
      </c>
      <c r="C70" t="s">
        <v>13</v>
      </c>
      <c r="D70" t="s">
        <v>19</v>
      </c>
      <c r="E70" t="s">
        <v>20</v>
      </c>
      <c r="F70">
        <v>3</v>
      </c>
      <c r="G70">
        <v>41304</v>
      </c>
      <c r="H70">
        <v>15</v>
      </c>
      <c r="I70">
        <v>105325.2</v>
      </c>
      <c r="J70">
        <v>15816</v>
      </c>
      <c r="K70" t="s">
        <v>39</v>
      </c>
      <c r="L70" t="s">
        <v>17</v>
      </c>
      <c r="M70">
        <v>2024</v>
      </c>
      <c r="N70">
        <v>1</v>
      </c>
      <c r="O70" s="4" t="s">
        <v>180</v>
      </c>
      <c r="P70" t="str">
        <f>TEXT(Table1[[#This Row],[Order_Date]],"mmm")</f>
        <v>Jan</v>
      </c>
      <c r="Q70">
        <f>YEAR(Table1[[#This Row],[Order_Date]])</f>
        <v>2024</v>
      </c>
      <c r="R70">
        <f>Table1[[#This Row],[Profit]]/Table1[[#This Row],[Sales]]</f>
        <v>0.15016349363685044</v>
      </c>
      <c r="S70">
        <f t="shared" si="2"/>
        <v>105325.2</v>
      </c>
    </row>
    <row r="71" spans="1:19" x14ac:dyDescent="0.2">
      <c r="A71" t="s">
        <v>120</v>
      </c>
      <c r="B71" s="3">
        <v>45383</v>
      </c>
      <c r="C71" t="s">
        <v>43</v>
      </c>
      <c r="D71" t="s">
        <v>44</v>
      </c>
      <c r="E71" t="s">
        <v>20</v>
      </c>
      <c r="F71">
        <v>1</v>
      </c>
      <c r="G71">
        <v>47016</v>
      </c>
      <c r="H71">
        <v>5</v>
      </c>
      <c r="I71">
        <v>44665.2</v>
      </c>
      <c r="J71">
        <v>1085.3699999999999</v>
      </c>
      <c r="K71" t="s">
        <v>16</v>
      </c>
      <c r="L71" t="s">
        <v>36</v>
      </c>
      <c r="M71">
        <v>2024</v>
      </c>
      <c r="N71">
        <v>4</v>
      </c>
      <c r="O71" s="4" t="s">
        <v>181</v>
      </c>
      <c r="P71" t="str">
        <f>TEXT(Table1[[#This Row],[Order_Date]],"mmm")</f>
        <v>Apr</v>
      </c>
      <c r="Q71">
        <f>YEAR(Table1[[#This Row],[Order_Date]])</f>
        <v>2024</v>
      </c>
      <c r="R71">
        <f>Table1[[#This Row],[Profit]]/Table1[[#This Row],[Sales]]</f>
        <v>2.4300126272802987E-2</v>
      </c>
      <c r="S71">
        <f t="shared" si="2"/>
        <v>44665.2</v>
      </c>
    </row>
    <row r="72" spans="1:19" x14ac:dyDescent="0.2">
      <c r="A72" t="s">
        <v>121</v>
      </c>
      <c r="B72" s="3">
        <v>45568</v>
      </c>
      <c r="C72" t="s">
        <v>38</v>
      </c>
      <c r="D72" t="s">
        <v>44</v>
      </c>
      <c r="E72" t="s">
        <v>20</v>
      </c>
      <c r="F72">
        <v>0</v>
      </c>
      <c r="G72">
        <v>33161</v>
      </c>
      <c r="H72">
        <v>10</v>
      </c>
      <c r="I72">
        <v>0</v>
      </c>
      <c r="J72">
        <v>0</v>
      </c>
      <c r="K72" t="s">
        <v>32</v>
      </c>
      <c r="L72" t="s">
        <v>36</v>
      </c>
      <c r="M72">
        <v>2024</v>
      </c>
      <c r="N72">
        <v>10</v>
      </c>
      <c r="O72" s="2"/>
      <c r="P72" t="str">
        <f>TEXT(Table1[[#This Row],[Order_Date]],"mmm")</f>
        <v>Oct</v>
      </c>
      <c r="Q72">
        <f>YEAR(Table1[[#This Row],[Order_Date]])</f>
        <v>2024</v>
      </c>
      <c r="R72" t="e">
        <f>Table1[[#This Row],[Profit]]/Table1[[#This Row],[Sales]]</f>
        <v>#DIV/0!</v>
      </c>
      <c r="S72">
        <f t="shared" si="2"/>
        <v>0</v>
      </c>
    </row>
    <row r="73" spans="1:19" x14ac:dyDescent="0.2">
      <c r="A73" t="s">
        <v>122</v>
      </c>
      <c r="B73" s="3">
        <v>45398</v>
      </c>
      <c r="C73" t="s">
        <v>123</v>
      </c>
      <c r="D73" t="s">
        <v>19</v>
      </c>
      <c r="E73" t="s">
        <v>20</v>
      </c>
      <c r="F73">
        <v>1</v>
      </c>
      <c r="G73">
        <v>5075</v>
      </c>
      <c r="H73">
        <v>10</v>
      </c>
      <c r="I73">
        <v>0</v>
      </c>
      <c r="J73">
        <v>0</v>
      </c>
      <c r="K73" t="s">
        <v>21</v>
      </c>
      <c r="L73" t="s">
        <v>36</v>
      </c>
      <c r="M73">
        <v>2024</v>
      </c>
      <c r="N73">
        <v>4</v>
      </c>
      <c r="O73" s="2"/>
      <c r="P73" t="str">
        <f>TEXT(Table1[[#This Row],[Order_Date]],"mmm")</f>
        <v>Apr</v>
      </c>
      <c r="Q73">
        <f>YEAR(Table1[[#This Row],[Order_Date]])</f>
        <v>2024</v>
      </c>
      <c r="R73" t="e">
        <f>Table1[[#This Row],[Profit]]/Table1[[#This Row],[Sales]]</f>
        <v>#DIV/0!</v>
      </c>
      <c r="S73">
        <f t="shared" si="2"/>
        <v>0</v>
      </c>
    </row>
    <row r="74" spans="1:19" x14ac:dyDescent="0.2">
      <c r="A74" t="s">
        <v>124</v>
      </c>
      <c r="B74" s="3">
        <v>45433</v>
      </c>
      <c r="C74" t="s">
        <v>23</v>
      </c>
      <c r="D74" t="s">
        <v>19</v>
      </c>
      <c r="E74" t="s">
        <v>20</v>
      </c>
      <c r="F74">
        <v>5</v>
      </c>
      <c r="G74">
        <v>35796</v>
      </c>
      <c r="H74">
        <v>15</v>
      </c>
      <c r="I74">
        <v>152133</v>
      </c>
      <c r="J74">
        <v>5788.6</v>
      </c>
      <c r="K74" t="s">
        <v>32</v>
      </c>
      <c r="L74" t="s">
        <v>26</v>
      </c>
      <c r="M74">
        <v>2024</v>
      </c>
      <c r="N74">
        <v>5</v>
      </c>
      <c r="O74" s="4" t="s">
        <v>182</v>
      </c>
      <c r="P74" t="str">
        <f>TEXT(Table1[[#This Row],[Order_Date]],"mmm")</f>
        <v>May</v>
      </c>
      <c r="Q74">
        <f>YEAR(Table1[[#This Row],[Order_Date]])</f>
        <v>2024</v>
      </c>
      <c r="R74">
        <f>Table1[[#This Row],[Profit]]/Table1[[#This Row],[Sales]]</f>
        <v>3.8049601335673394E-2</v>
      </c>
      <c r="S74">
        <f t="shared" si="2"/>
        <v>152133</v>
      </c>
    </row>
    <row r="75" spans="1:19" x14ac:dyDescent="0.2">
      <c r="A75" t="s">
        <v>125</v>
      </c>
      <c r="B75" s="3">
        <v>45296</v>
      </c>
      <c r="C75" t="s">
        <v>23</v>
      </c>
      <c r="D75" t="s">
        <v>48</v>
      </c>
      <c r="E75" t="s">
        <v>20</v>
      </c>
      <c r="F75">
        <v>4</v>
      </c>
      <c r="G75">
        <v>15806</v>
      </c>
      <c r="H75">
        <v>15</v>
      </c>
      <c r="I75">
        <v>53740.4</v>
      </c>
      <c r="J75">
        <v>-4435.79</v>
      </c>
      <c r="K75" t="s">
        <v>32</v>
      </c>
      <c r="L75" t="s">
        <v>36</v>
      </c>
      <c r="M75">
        <v>2024</v>
      </c>
      <c r="N75">
        <v>1</v>
      </c>
      <c r="O75" s="2">
        <v>-8.2541067800016299E-2</v>
      </c>
      <c r="P75" t="str">
        <f>TEXT(Table1[[#This Row],[Order_Date]],"mmm")</f>
        <v>Jan</v>
      </c>
      <c r="Q75">
        <f>YEAR(Table1[[#This Row],[Order_Date]])</f>
        <v>2024</v>
      </c>
      <c r="R75">
        <f>Table1[[#This Row],[Profit]]/Table1[[#This Row],[Sales]]</f>
        <v>-8.2541067800016368E-2</v>
      </c>
      <c r="S75">
        <f t="shared" si="2"/>
        <v>53740.4</v>
      </c>
    </row>
    <row r="76" spans="1:19" x14ac:dyDescent="0.2">
      <c r="A76" t="s">
        <v>126</v>
      </c>
      <c r="B76" s="3">
        <v>45317</v>
      </c>
      <c r="C76" t="s">
        <v>63</v>
      </c>
      <c r="D76" t="s">
        <v>44</v>
      </c>
      <c r="E76" t="s">
        <v>20</v>
      </c>
      <c r="F76">
        <v>0</v>
      </c>
      <c r="G76">
        <v>33418</v>
      </c>
      <c r="H76">
        <v>20</v>
      </c>
      <c r="I76">
        <v>0</v>
      </c>
      <c r="J76">
        <v>0</v>
      </c>
      <c r="K76" t="s">
        <v>16</v>
      </c>
      <c r="L76" t="s">
        <v>26</v>
      </c>
      <c r="M76">
        <v>2024</v>
      </c>
      <c r="N76">
        <v>1</v>
      </c>
      <c r="O76" s="2"/>
      <c r="P76" t="str">
        <f>TEXT(Table1[[#This Row],[Order_Date]],"mmm")</f>
        <v>Jan</v>
      </c>
      <c r="Q76">
        <f>YEAR(Table1[[#This Row],[Order_Date]])</f>
        <v>2024</v>
      </c>
      <c r="R76" t="e">
        <f>Table1[[#This Row],[Profit]]/Table1[[#This Row],[Sales]]</f>
        <v>#DIV/0!</v>
      </c>
      <c r="S76">
        <f t="shared" si="2"/>
        <v>0</v>
      </c>
    </row>
    <row r="77" spans="1:19" x14ac:dyDescent="0.2">
      <c r="A77" t="s">
        <v>127</v>
      </c>
      <c r="B77" s="3">
        <v>45507</v>
      </c>
      <c r="C77" t="s">
        <v>23</v>
      </c>
      <c r="D77" t="s">
        <v>35</v>
      </c>
      <c r="E77" t="s">
        <v>15</v>
      </c>
      <c r="F77">
        <v>0</v>
      </c>
      <c r="G77">
        <v>5403</v>
      </c>
      <c r="H77">
        <v>15</v>
      </c>
      <c r="I77">
        <v>0</v>
      </c>
      <c r="J77">
        <v>0</v>
      </c>
      <c r="K77" t="s">
        <v>39</v>
      </c>
      <c r="L77" t="s">
        <v>45</v>
      </c>
      <c r="M77">
        <v>2024</v>
      </c>
      <c r="N77">
        <v>8</v>
      </c>
      <c r="O77" s="2"/>
      <c r="P77" t="str">
        <f>TEXT(Table1[[#This Row],[Order_Date]],"mmm")</f>
        <v>Aug</v>
      </c>
      <c r="Q77">
        <f>YEAR(Table1[[#This Row],[Order_Date]])</f>
        <v>2024</v>
      </c>
      <c r="R77" t="e">
        <f>Table1[[#This Row],[Profit]]/Table1[[#This Row],[Sales]]</f>
        <v>#DIV/0!</v>
      </c>
      <c r="S77">
        <f t="shared" si="2"/>
        <v>0</v>
      </c>
    </row>
    <row r="78" spans="1:19" x14ac:dyDescent="0.2">
      <c r="A78" t="s">
        <v>128</v>
      </c>
      <c r="B78" s="3">
        <v>45294</v>
      </c>
      <c r="C78" t="s">
        <v>25</v>
      </c>
      <c r="D78" t="s">
        <v>14</v>
      </c>
      <c r="E78" t="s">
        <v>15</v>
      </c>
      <c r="F78">
        <v>5</v>
      </c>
      <c r="G78">
        <v>35956</v>
      </c>
      <c r="H78">
        <v>0</v>
      </c>
      <c r="I78">
        <v>179780</v>
      </c>
      <c r="J78">
        <v>26424.74</v>
      </c>
      <c r="K78" t="s">
        <v>39</v>
      </c>
      <c r="L78" t="s">
        <v>17</v>
      </c>
      <c r="M78">
        <v>2024</v>
      </c>
      <c r="N78">
        <v>1</v>
      </c>
      <c r="O78" s="4" t="s">
        <v>183</v>
      </c>
      <c r="P78" t="str">
        <f>TEXT(Table1[[#This Row],[Order_Date]],"mmm")</f>
        <v>Jan</v>
      </c>
      <c r="Q78">
        <f>YEAR(Table1[[#This Row],[Order_Date]])</f>
        <v>2024</v>
      </c>
      <c r="R78">
        <f>Table1[[#This Row],[Profit]]/Table1[[#This Row],[Sales]]</f>
        <v>0.14698375792635443</v>
      </c>
      <c r="S78">
        <f t="shared" si="2"/>
        <v>179780</v>
      </c>
    </row>
    <row r="79" spans="1:19" x14ac:dyDescent="0.2">
      <c r="A79" t="s">
        <v>130</v>
      </c>
      <c r="B79" s="3">
        <v>45312</v>
      </c>
      <c r="C79" t="s">
        <v>23</v>
      </c>
      <c r="D79" t="s">
        <v>48</v>
      </c>
      <c r="E79" t="s">
        <v>20</v>
      </c>
      <c r="F79">
        <v>4</v>
      </c>
      <c r="G79">
        <v>37588</v>
      </c>
      <c r="H79">
        <v>5</v>
      </c>
      <c r="I79">
        <v>142834.4</v>
      </c>
      <c r="J79">
        <v>-4571.63</v>
      </c>
      <c r="K79" t="s">
        <v>32</v>
      </c>
      <c r="L79" t="s">
        <v>26</v>
      </c>
      <c r="M79">
        <v>2024</v>
      </c>
      <c r="N79">
        <v>1</v>
      </c>
      <c r="O79" s="2">
        <v>-3.20065054356653E-2</v>
      </c>
      <c r="P79" t="str">
        <f>TEXT(Table1[[#This Row],[Order_Date]],"mmm")</f>
        <v>Jan</v>
      </c>
      <c r="Q79">
        <f>YEAR(Table1[[#This Row],[Order_Date]])</f>
        <v>2024</v>
      </c>
      <c r="R79">
        <f>Table1[[#This Row],[Profit]]/Table1[[#This Row],[Sales]]</f>
        <v>-3.2006505435665362E-2</v>
      </c>
      <c r="S79">
        <f t="shared" si="2"/>
        <v>142834.4</v>
      </c>
    </row>
    <row r="80" spans="1:19" x14ac:dyDescent="0.2">
      <c r="A80" t="s">
        <v>131</v>
      </c>
      <c r="B80" s="3">
        <v>45411</v>
      </c>
      <c r="C80" t="s">
        <v>13</v>
      </c>
      <c r="D80" t="s">
        <v>35</v>
      </c>
      <c r="E80" t="s">
        <v>15</v>
      </c>
      <c r="F80">
        <v>2</v>
      </c>
      <c r="G80">
        <v>30618</v>
      </c>
      <c r="H80">
        <v>10</v>
      </c>
      <c r="I80">
        <v>55112.4</v>
      </c>
      <c r="J80">
        <v>9189.24</v>
      </c>
      <c r="K80" t="s">
        <v>21</v>
      </c>
      <c r="L80" t="s">
        <v>45</v>
      </c>
      <c r="M80">
        <v>2024</v>
      </c>
      <c r="N80">
        <v>4</v>
      </c>
      <c r="O80" s="4" t="s">
        <v>184</v>
      </c>
      <c r="P80" t="str">
        <f>TEXT(Table1[[#This Row],[Order_Date]],"mmm")</f>
        <v>Apr</v>
      </c>
      <c r="Q80">
        <f>YEAR(Table1[[#This Row],[Order_Date]])</f>
        <v>2024</v>
      </c>
      <c r="R80">
        <f>Table1[[#This Row],[Profit]]/Table1[[#This Row],[Sales]]</f>
        <v>0.16673634245650706</v>
      </c>
      <c r="S80">
        <f t="shared" si="2"/>
        <v>55112.4</v>
      </c>
    </row>
    <row r="81" spans="1:19" x14ac:dyDescent="0.2">
      <c r="A81" t="s">
        <v>132</v>
      </c>
      <c r="B81" s="3">
        <v>45369</v>
      </c>
      <c r="C81" t="s">
        <v>23</v>
      </c>
      <c r="D81" t="s">
        <v>14</v>
      </c>
      <c r="E81" t="s">
        <v>15</v>
      </c>
      <c r="F81">
        <v>4</v>
      </c>
      <c r="G81">
        <v>45740</v>
      </c>
      <c r="H81">
        <v>10</v>
      </c>
      <c r="I81">
        <v>164664</v>
      </c>
      <c r="J81">
        <v>13623.36</v>
      </c>
      <c r="K81" t="s">
        <v>39</v>
      </c>
      <c r="L81" t="s">
        <v>45</v>
      </c>
      <c r="M81">
        <v>2024</v>
      </c>
      <c r="N81">
        <v>3</v>
      </c>
      <c r="O81" s="2">
        <v>8.2734295292231405E-2</v>
      </c>
      <c r="P81" t="str">
        <f>TEXT(Table1[[#This Row],[Order_Date]],"mmm")</f>
        <v>Mar</v>
      </c>
      <c r="Q81">
        <f>YEAR(Table1[[#This Row],[Order_Date]])</f>
        <v>2024</v>
      </c>
      <c r="R81">
        <f>Table1[[#This Row],[Profit]]/Table1[[#This Row],[Sales]]</f>
        <v>8.2734295292231461E-2</v>
      </c>
      <c r="S81">
        <f t="shared" si="2"/>
        <v>164664</v>
      </c>
    </row>
    <row r="82" spans="1:19" x14ac:dyDescent="0.2">
      <c r="A82" t="s">
        <v>133</v>
      </c>
      <c r="B82" s="3">
        <v>45460</v>
      </c>
      <c r="C82" t="s">
        <v>51</v>
      </c>
      <c r="D82" t="s">
        <v>48</v>
      </c>
      <c r="E82" t="s">
        <v>20</v>
      </c>
      <c r="F82">
        <v>2</v>
      </c>
      <c r="G82">
        <v>46327</v>
      </c>
      <c r="H82">
        <v>10</v>
      </c>
      <c r="I82">
        <v>83388.600000000006</v>
      </c>
      <c r="J82">
        <v>-7607.06</v>
      </c>
      <c r="K82" t="s">
        <v>16</v>
      </c>
      <c r="L82" t="s">
        <v>36</v>
      </c>
      <c r="M82">
        <v>2024</v>
      </c>
      <c r="N82">
        <v>6</v>
      </c>
      <c r="O82" s="2">
        <v>-9.1224220097231495E-2</v>
      </c>
      <c r="P82" t="str">
        <f>TEXT(Table1[[#This Row],[Order_Date]],"mmm")</f>
        <v>Jun</v>
      </c>
      <c r="Q82">
        <f>YEAR(Table1[[#This Row],[Order_Date]])</f>
        <v>2024</v>
      </c>
      <c r="R82">
        <f>Table1[[#This Row],[Profit]]/Table1[[#This Row],[Sales]]</f>
        <v>-9.1224220097231509E-2</v>
      </c>
      <c r="S82">
        <f t="shared" si="2"/>
        <v>83388.600000000006</v>
      </c>
    </row>
    <row r="83" spans="1:19" x14ac:dyDescent="0.2">
      <c r="A83" t="s">
        <v>134</v>
      </c>
      <c r="B83" s="3">
        <v>45340</v>
      </c>
      <c r="C83" t="s">
        <v>84</v>
      </c>
      <c r="D83" t="s">
        <v>31</v>
      </c>
      <c r="E83" t="s">
        <v>15</v>
      </c>
      <c r="F83">
        <v>1</v>
      </c>
      <c r="G83">
        <v>40284</v>
      </c>
      <c r="H83">
        <v>10</v>
      </c>
      <c r="I83">
        <v>36255.599999999999</v>
      </c>
      <c r="J83">
        <v>-449.5</v>
      </c>
      <c r="K83" t="s">
        <v>16</v>
      </c>
      <c r="L83" t="s">
        <v>45</v>
      </c>
      <c r="M83">
        <v>2024</v>
      </c>
      <c r="N83">
        <v>2</v>
      </c>
      <c r="O83" s="2">
        <v>-1.2398084709672399E-2</v>
      </c>
      <c r="P83" t="str">
        <f>TEXT(Table1[[#This Row],[Order_Date]],"mmm")</f>
        <v>Feb</v>
      </c>
      <c r="Q83">
        <f>YEAR(Table1[[#This Row],[Order_Date]])</f>
        <v>2024</v>
      </c>
      <c r="R83">
        <f>Table1[[#This Row],[Profit]]/Table1[[#This Row],[Sales]]</f>
        <v>-1.2398084709672437E-2</v>
      </c>
      <c r="S83">
        <f t="shared" si="2"/>
        <v>36255.599999999999</v>
      </c>
    </row>
    <row r="84" spans="1:19" x14ac:dyDescent="0.2">
      <c r="A84" t="s">
        <v>135</v>
      </c>
      <c r="B84" s="3">
        <v>45315</v>
      </c>
      <c r="C84" t="s">
        <v>47</v>
      </c>
      <c r="D84" t="s">
        <v>35</v>
      </c>
      <c r="E84" t="s">
        <v>15</v>
      </c>
      <c r="F84">
        <v>-2</v>
      </c>
      <c r="G84">
        <v>38482</v>
      </c>
      <c r="H84">
        <v>10</v>
      </c>
      <c r="I84">
        <v>-69267.600000000006</v>
      </c>
      <c r="J84">
        <v>-13364.76</v>
      </c>
      <c r="K84" t="s">
        <v>32</v>
      </c>
      <c r="L84" t="s">
        <v>45</v>
      </c>
      <c r="M84">
        <v>2024</v>
      </c>
      <c r="N84">
        <v>1</v>
      </c>
      <c r="O84" s="4" t="s">
        <v>185</v>
      </c>
      <c r="P84" t="str">
        <f>TEXT(Table1[[#This Row],[Order_Date]],"mmm")</f>
        <v>Jan</v>
      </c>
      <c r="Q84">
        <f>YEAR(Table1[[#This Row],[Order_Date]])</f>
        <v>2024</v>
      </c>
      <c r="R84">
        <f>Table1[[#This Row],[Profit]]/Table1[[#This Row],[Sales]]</f>
        <v>0.19294388718535072</v>
      </c>
      <c r="S84">
        <f t="shared" si="2"/>
        <v>0</v>
      </c>
    </row>
    <row r="85" spans="1:19" x14ac:dyDescent="0.2">
      <c r="A85" t="s">
        <v>136</v>
      </c>
      <c r="B85" s="3">
        <v>45356</v>
      </c>
      <c r="C85" t="s">
        <v>25</v>
      </c>
      <c r="D85" t="s">
        <v>48</v>
      </c>
      <c r="E85" t="s">
        <v>20</v>
      </c>
      <c r="F85">
        <v>2</v>
      </c>
      <c r="G85">
        <v>11283</v>
      </c>
      <c r="H85">
        <v>10</v>
      </c>
      <c r="I85">
        <v>20309.400000000001</v>
      </c>
      <c r="J85">
        <v>5394.57</v>
      </c>
      <c r="K85" t="s">
        <v>16</v>
      </c>
      <c r="L85" t="s">
        <v>36</v>
      </c>
      <c r="M85">
        <v>2024</v>
      </c>
      <c r="N85">
        <v>3</v>
      </c>
      <c r="O85" s="2">
        <v>0.26561936837129602</v>
      </c>
      <c r="P85" t="str">
        <f>TEXT(Table1[[#This Row],[Order_Date]],"mmm")</f>
        <v>Mar</v>
      </c>
      <c r="Q85">
        <f>YEAR(Table1[[#This Row],[Order_Date]])</f>
        <v>2024</v>
      </c>
      <c r="R85">
        <f>Table1[[#This Row],[Profit]]/Table1[[#This Row],[Sales]]</f>
        <v>0.26561936837129602</v>
      </c>
      <c r="S85">
        <f t="shared" si="2"/>
        <v>20309.400000000001</v>
      </c>
    </row>
    <row r="86" spans="1:19" x14ac:dyDescent="0.2">
      <c r="A86" t="s">
        <v>137</v>
      </c>
      <c r="B86" s="3">
        <v>45464</v>
      </c>
      <c r="C86" t="s">
        <v>13</v>
      </c>
      <c r="D86" t="s">
        <v>44</v>
      </c>
      <c r="E86" t="s">
        <v>20</v>
      </c>
      <c r="F86">
        <v>0</v>
      </c>
      <c r="G86">
        <v>49924</v>
      </c>
      <c r="H86">
        <v>5</v>
      </c>
      <c r="I86">
        <v>0</v>
      </c>
      <c r="J86">
        <v>0</v>
      </c>
      <c r="K86" t="s">
        <v>16</v>
      </c>
      <c r="L86" t="s">
        <v>45</v>
      </c>
      <c r="M86">
        <v>2024</v>
      </c>
      <c r="N86">
        <v>6</v>
      </c>
      <c r="O86" s="2"/>
      <c r="P86" t="str">
        <f>TEXT(Table1[[#This Row],[Order_Date]],"mmm")</f>
        <v>Jun</v>
      </c>
      <c r="Q86">
        <f>YEAR(Table1[[#This Row],[Order_Date]])</f>
        <v>2024</v>
      </c>
      <c r="R86" t="e">
        <f>Table1[[#This Row],[Profit]]/Table1[[#This Row],[Sales]]</f>
        <v>#DIV/0!</v>
      </c>
      <c r="S86">
        <f t="shared" si="2"/>
        <v>0</v>
      </c>
    </row>
    <row r="87" spans="1:19" x14ac:dyDescent="0.2">
      <c r="A87" t="s">
        <v>138</v>
      </c>
      <c r="B87" s="3">
        <v>45464</v>
      </c>
      <c r="C87" t="s">
        <v>23</v>
      </c>
      <c r="D87" t="s">
        <v>48</v>
      </c>
      <c r="E87" t="s">
        <v>20</v>
      </c>
      <c r="F87">
        <v>-1</v>
      </c>
      <c r="G87">
        <v>30304</v>
      </c>
      <c r="H87">
        <v>10</v>
      </c>
      <c r="I87">
        <v>-27273.599999999999</v>
      </c>
      <c r="J87">
        <v>-4612.82</v>
      </c>
      <c r="K87" t="s">
        <v>16</v>
      </c>
      <c r="L87" t="s">
        <v>26</v>
      </c>
      <c r="M87">
        <v>2024</v>
      </c>
      <c r="N87">
        <v>6</v>
      </c>
      <c r="O87" s="4" t="s">
        <v>186</v>
      </c>
      <c r="P87" t="str">
        <f>TEXT(Table1[[#This Row],[Order_Date]],"mmm")</f>
        <v>Jun</v>
      </c>
      <c r="Q87">
        <f>YEAR(Table1[[#This Row],[Order_Date]])</f>
        <v>2024</v>
      </c>
      <c r="R87">
        <f>Table1[[#This Row],[Profit]]/Table1[[#This Row],[Sales]]</f>
        <v>0.16913132113105714</v>
      </c>
      <c r="S87">
        <f t="shared" si="2"/>
        <v>0</v>
      </c>
    </row>
    <row r="88" spans="1:19" x14ac:dyDescent="0.2">
      <c r="A88" t="s">
        <v>139</v>
      </c>
      <c r="B88" s="3">
        <v>45418</v>
      </c>
      <c r="C88" t="s">
        <v>43</v>
      </c>
      <c r="D88" t="s">
        <v>35</v>
      </c>
      <c r="E88" t="s">
        <v>15</v>
      </c>
      <c r="F88">
        <v>-2</v>
      </c>
      <c r="G88">
        <v>41102</v>
      </c>
      <c r="H88">
        <v>20</v>
      </c>
      <c r="I88">
        <v>-65763.199999999997</v>
      </c>
      <c r="J88">
        <v>-2051.98</v>
      </c>
      <c r="K88" t="s">
        <v>21</v>
      </c>
      <c r="L88" t="s">
        <v>36</v>
      </c>
      <c r="M88">
        <v>2024</v>
      </c>
      <c r="N88">
        <v>5</v>
      </c>
      <c r="O88" s="2">
        <v>3.1202557053184699E-2</v>
      </c>
      <c r="P88" t="str">
        <f>TEXT(Table1[[#This Row],[Order_Date]],"mmm")</f>
        <v>May</v>
      </c>
      <c r="Q88">
        <f>YEAR(Table1[[#This Row],[Order_Date]])</f>
        <v>2024</v>
      </c>
      <c r="R88">
        <f>Table1[[#This Row],[Profit]]/Table1[[#This Row],[Sales]]</f>
        <v>3.1202557053184761E-2</v>
      </c>
      <c r="S88">
        <f t="shared" si="2"/>
        <v>0</v>
      </c>
    </row>
    <row r="89" spans="1:19" x14ac:dyDescent="0.2">
      <c r="A89" t="s">
        <v>140</v>
      </c>
      <c r="B89" s="3">
        <v>45448</v>
      </c>
      <c r="C89" t="s">
        <v>61</v>
      </c>
      <c r="D89" t="s">
        <v>44</v>
      </c>
      <c r="E89" t="s">
        <v>20</v>
      </c>
      <c r="F89">
        <v>0</v>
      </c>
      <c r="G89">
        <v>3471</v>
      </c>
      <c r="H89">
        <v>0</v>
      </c>
      <c r="I89">
        <v>0</v>
      </c>
      <c r="J89">
        <v>0</v>
      </c>
      <c r="K89" t="s">
        <v>39</v>
      </c>
      <c r="L89" t="s">
        <v>45</v>
      </c>
      <c r="M89">
        <v>2024</v>
      </c>
      <c r="N89">
        <v>6</v>
      </c>
      <c r="O89" s="2"/>
      <c r="P89" t="str">
        <f>TEXT(Table1[[#This Row],[Order_Date]],"mmm")</f>
        <v>Jun</v>
      </c>
      <c r="Q89">
        <f>YEAR(Table1[[#This Row],[Order_Date]])</f>
        <v>2024</v>
      </c>
      <c r="R89" t="e">
        <f>Table1[[#This Row],[Profit]]/Table1[[#This Row],[Sales]]</f>
        <v>#DIV/0!</v>
      </c>
      <c r="S89">
        <f t="shared" si="2"/>
        <v>0</v>
      </c>
    </row>
    <row r="90" spans="1:19" x14ac:dyDescent="0.2">
      <c r="A90" t="s">
        <v>141</v>
      </c>
      <c r="B90" s="3">
        <v>45459</v>
      </c>
      <c r="C90" t="s">
        <v>38</v>
      </c>
      <c r="D90" t="s">
        <v>14</v>
      </c>
      <c r="E90" t="s">
        <v>15</v>
      </c>
      <c r="F90">
        <v>4</v>
      </c>
      <c r="G90">
        <v>38991</v>
      </c>
      <c r="H90">
        <v>5</v>
      </c>
      <c r="I90">
        <v>148165.79999999999</v>
      </c>
      <c r="J90">
        <v>37658.639999999999</v>
      </c>
      <c r="K90" t="s">
        <v>21</v>
      </c>
      <c r="L90" t="s">
        <v>17</v>
      </c>
      <c r="M90">
        <v>2024</v>
      </c>
      <c r="N90">
        <v>6</v>
      </c>
      <c r="O90" s="4" t="s">
        <v>187</v>
      </c>
      <c r="P90" t="str">
        <f>TEXT(Table1[[#This Row],[Order_Date]],"mmm")</f>
        <v>Jun</v>
      </c>
      <c r="Q90">
        <f>YEAR(Table1[[#This Row],[Order_Date]])</f>
        <v>2024</v>
      </c>
      <c r="R90">
        <f>Table1[[#This Row],[Profit]]/Table1[[#This Row],[Sales]]</f>
        <v>0.25416553617636461</v>
      </c>
      <c r="S90">
        <f t="shared" si="2"/>
        <v>148165.79999999999</v>
      </c>
    </row>
    <row r="91" spans="1:19" x14ac:dyDescent="0.2">
      <c r="A91" t="s">
        <v>142</v>
      </c>
      <c r="B91" s="3">
        <v>45294</v>
      </c>
      <c r="C91" t="s">
        <v>28</v>
      </c>
      <c r="D91" t="s">
        <v>14</v>
      </c>
      <c r="E91" t="s">
        <v>15</v>
      </c>
      <c r="F91">
        <v>3</v>
      </c>
      <c r="G91">
        <v>14738</v>
      </c>
      <c r="H91">
        <v>15</v>
      </c>
      <c r="I91">
        <v>37581.9</v>
      </c>
      <c r="J91">
        <v>2926.82</v>
      </c>
      <c r="K91" t="s">
        <v>21</v>
      </c>
      <c r="L91" t="s">
        <v>17</v>
      </c>
      <c r="M91">
        <v>2024</v>
      </c>
      <c r="N91">
        <v>1</v>
      </c>
      <c r="O91" s="2">
        <v>7.7878446805510093E-2</v>
      </c>
      <c r="P91" t="str">
        <f>TEXT(Table1[[#This Row],[Order_Date]],"mmm")</f>
        <v>Jan</v>
      </c>
      <c r="Q91">
        <f>YEAR(Table1[[#This Row],[Order_Date]])</f>
        <v>2024</v>
      </c>
      <c r="R91">
        <f>Table1[[#This Row],[Profit]]/Table1[[#This Row],[Sales]]</f>
        <v>7.7878446805510107E-2</v>
      </c>
      <c r="S91">
        <f t="shared" si="2"/>
        <v>37581.9</v>
      </c>
    </row>
    <row r="92" spans="1:19" x14ac:dyDescent="0.2">
      <c r="A92" t="s">
        <v>143</v>
      </c>
      <c r="B92" s="3">
        <v>45408</v>
      </c>
      <c r="C92" t="s">
        <v>67</v>
      </c>
      <c r="D92" t="s">
        <v>35</v>
      </c>
      <c r="E92" t="s">
        <v>15</v>
      </c>
      <c r="F92">
        <v>2</v>
      </c>
      <c r="G92">
        <v>12939</v>
      </c>
      <c r="H92">
        <v>0</v>
      </c>
      <c r="I92">
        <v>25878</v>
      </c>
      <c r="J92">
        <v>7235.6</v>
      </c>
      <c r="K92" t="s">
        <v>16</v>
      </c>
      <c r="L92" t="s">
        <v>17</v>
      </c>
      <c r="M92">
        <v>2024</v>
      </c>
      <c r="N92">
        <v>4</v>
      </c>
      <c r="O92" s="4" t="s">
        <v>188</v>
      </c>
      <c r="P92" t="str">
        <f>TEXT(Table1[[#This Row],[Order_Date]],"mmm")</f>
        <v>Apr</v>
      </c>
      <c r="Q92">
        <f>YEAR(Table1[[#This Row],[Order_Date]])</f>
        <v>2024</v>
      </c>
      <c r="R92">
        <f>Table1[[#This Row],[Profit]]/Table1[[#This Row],[Sales]]</f>
        <v>0.27960429708632817</v>
      </c>
      <c r="S92">
        <f t="shared" si="2"/>
        <v>25878</v>
      </c>
    </row>
    <row r="93" spans="1:19" x14ac:dyDescent="0.2">
      <c r="O93" s="2"/>
    </row>
    <row r="94" spans="1:19" x14ac:dyDescent="0.2">
      <c r="O94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0444-B8D7-1D43-BBA7-1B21167025E7}">
  <dimension ref="A1:Q12"/>
  <sheetViews>
    <sheetView zoomScale="116" workbookViewId="0">
      <selection activeCell="A2" sqref="A2"/>
    </sheetView>
  </sheetViews>
  <sheetFormatPr baseColWidth="10" defaultRowHeight="16" x14ac:dyDescent="0.2"/>
  <cols>
    <col min="1" max="1" width="13.33203125" customWidth="1"/>
    <col min="4" max="4" width="20.33203125" customWidth="1"/>
    <col min="5" max="5" width="13" bestFit="1" customWidth="1"/>
    <col min="6" max="6" width="22.1640625" bestFit="1" customWidth="1"/>
    <col min="8" max="8" width="14.6640625" bestFit="1" customWidth="1"/>
    <col min="9" max="9" width="22.1640625" bestFit="1" customWidth="1"/>
    <col min="12" max="12" width="13" bestFit="1" customWidth="1"/>
    <col min="13" max="13" width="22.1640625" bestFit="1" customWidth="1"/>
    <col min="16" max="16" width="13" bestFit="1" customWidth="1"/>
    <col min="17" max="17" width="22.1640625" bestFit="1" customWidth="1"/>
  </cols>
  <sheetData>
    <row r="1" spans="1:17" x14ac:dyDescent="0.2">
      <c r="A1" s="6" t="s">
        <v>192</v>
      </c>
      <c r="B1" s="6" t="s">
        <v>194</v>
      </c>
      <c r="C1" s="6" t="s">
        <v>195</v>
      </c>
      <c r="D1" s="6" t="s">
        <v>196</v>
      </c>
      <c r="E1" s="7" t="s">
        <v>145</v>
      </c>
      <c r="F1" t="s">
        <v>208</v>
      </c>
      <c r="H1" s="7" t="s">
        <v>2</v>
      </c>
      <c r="I1" t="s">
        <v>208</v>
      </c>
      <c r="L1" s="7" t="s">
        <v>10</v>
      </c>
      <c r="M1" t="s">
        <v>208</v>
      </c>
      <c r="P1" s="7" t="s">
        <v>4</v>
      </c>
      <c r="Q1" t="s">
        <v>209</v>
      </c>
    </row>
    <row r="2" spans="1:17" x14ac:dyDescent="0.2">
      <c r="A2">
        <f>SUM(Cleaned_Data!J:J)</f>
        <v>350288.70999999996</v>
      </c>
      <c r="B2">
        <f>COUNTA(Cleaned_Data!A:A)</f>
        <v>92</v>
      </c>
      <c r="C2">
        <f>SUM(Cleaned_Data!J:J)</f>
        <v>350288.70999999996</v>
      </c>
      <c r="D2">
        <f>A2/B2</f>
        <v>3807.4859782608692</v>
      </c>
      <c r="E2" s="8" t="s">
        <v>197</v>
      </c>
      <c r="F2">
        <v>1032762.3500000001</v>
      </c>
      <c r="H2" s="8" t="s">
        <v>23</v>
      </c>
      <c r="I2">
        <v>858423</v>
      </c>
      <c r="L2" s="8" t="s">
        <v>39</v>
      </c>
      <c r="M2">
        <v>956588.65</v>
      </c>
      <c r="P2" s="8" t="s">
        <v>15</v>
      </c>
      <c r="Q2">
        <v>50</v>
      </c>
    </row>
    <row r="3" spans="1:17" x14ac:dyDescent="0.2">
      <c r="E3" s="8" t="s">
        <v>198</v>
      </c>
      <c r="F3">
        <v>331925.39999999997</v>
      </c>
      <c r="H3" s="8" t="s">
        <v>25</v>
      </c>
      <c r="I3">
        <v>589678.4</v>
      </c>
      <c r="L3" s="8" t="s">
        <v>16</v>
      </c>
      <c r="M3">
        <v>1021791.2</v>
      </c>
      <c r="P3" s="8" t="s">
        <v>20</v>
      </c>
      <c r="Q3">
        <v>41</v>
      </c>
    </row>
    <row r="4" spans="1:17" x14ac:dyDescent="0.2">
      <c r="E4" s="8" t="s">
        <v>199</v>
      </c>
      <c r="F4">
        <v>389816.30000000005</v>
      </c>
      <c r="H4" s="8" t="s">
        <v>38</v>
      </c>
      <c r="I4">
        <v>538009.89999999991</v>
      </c>
      <c r="L4" s="8" t="s">
        <v>21</v>
      </c>
      <c r="M4">
        <v>1338248.7500000002</v>
      </c>
      <c r="P4" s="8" t="s">
        <v>207</v>
      </c>
      <c r="Q4">
        <v>91</v>
      </c>
    </row>
    <row r="5" spans="1:17" x14ac:dyDescent="0.2">
      <c r="E5" s="8" t="s">
        <v>200</v>
      </c>
      <c r="F5">
        <v>391150.30000000005</v>
      </c>
      <c r="H5" s="8" t="s">
        <v>58</v>
      </c>
      <c r="I5">
        <v>419234.85</v>
      </c>
      <c r="L5" s="8" t="s">
        <v>32</v>
      </c>
      <c r="M5">
        <v>812391.90000000014</v>
      </c>
    </row>
    <row r="6" spans="1:17" x14ac:dyDescent="0.2">
      <c r="E6" s="8" t="s">
        <v>201</v>
      </c>
      <c r="F6">
        <v>447512.9</v>
      </c>
      <c r="H6" s="8" t="s">
        <v>13</v>
      </c>
      <c r="I6">
        <v>366994.10000000003</v>
      </c>
      <c r="L6" s="8" t="s">
        <v>207</v>
      </c>
      <c r="M6">
        <v>4129020.5000000009</v>
      </c>
    </row>
    <row r="7" spans="1:17" x14ac:dyDescent="0.2">
      <c r="E7" s="8" t="s">
        <v>202</v>
      </c>
      <c r="F7">
        <v>1234960.95</v>
      </c>
      <c r="H7" s="8" t="s">
        <v>70</v>
      </c>
      <c r="I7">
        <v>348493.05</v>
      </c>
    </row>
    <row r="8" spans="1:17" x14ac:dyDescent="0.2">
      <c r="E8" s="8" t="s">
        <v>203</v>
      </c>
      <c r="F8">
        <v>0</v>
      </c>
      <c r="H8" s="8" t="s">
        <v>61</v>
      </c>
      <c r="I8">
        <v>241900.9</v>
      </c>
    </row>
    <row r="9" spans="1:17" x14ac:dyDescent="0.2">
      <c r="E9" s="8" t="s">
        <v>204</v>
      </c>
      <c r="F9">
        <v>205348.5</v>
      </c>
      <c r="H9" s="8" t="s">
        <v>28</v>
      </c>
      <c r="I9">
        <v>209632.69999999998</v>
      </c>
    </row>
    <row r="10" spans="1:17" x14ac:dyDescent="0.2">
      <c r="E10" s="8" t="s">
        <v>205</v>
      </c>
      <c r="F10">
        <v>80434.8</v>
      </c>
      <c r="H10" s="8" t="s">
        <v>51</v>
      </c>
      <c r="I10">
        <v>129399.3</v>
      </c>
    </row>
    <row r="11" spans="1:17" x14ac:dyDescent="0.2">
      <c r="E11" s="8" t="s">
        <v>206</v>
      </c>
      <c r="F11">
        <v>15109</v>
      </c>
      <c r="H11" s="8" t="s">
        <v>34</v>
      </c>
      <c r="I11">
        <v>116673</v>
      </c>
    </row>
    <row r="12" spans="1:17" x14ac:dyDescent="0.2">
      <c r="E12" s="8" t="s">
        <v>207</v>
      </c>
      <c r="F12">
        <v>4129020.5</v>
      </c>
      <c r="H12" s="8" t="s">
        <v>207</v>
      </c>
      <c r="I12">
        <v>3818439.2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0BE3-2546-064B-B093-12D04FC46063}">
  <dimension ref="A1:K5"/>
  <sheetViews>
    <sheetView showGridLines="0" tabSelected="1" zoomScale="60" zoomScaleNormal="125" workbookViewId="0">
      <selection activeCell="L7" sqref="L7"/>
    </sheetView>
  </sheetViews>
  <sheetFormatPr baseColWidth="10" defaultRowHeight="16" x14ac:dyDescent="0.2"/>
  <cols>
    <col min="1" max="1" width="10" customWidth="1"/>
    <col min="2" max="2" width="25" customWidth="1"/>
    <col min="3" max="3" width="16.6640625" customWidth="1"/>
    <col min="4" max="4" width="23" customWidth="1"/>
    <col min="6" max="6" width="20.6640625" customWidth="1"/>
    <col min="8" max="8" width="32.6640625" customWidth="1"/>
  </cols>
  <sheetData>
    <row r="1" spans="1:11" s="11" customFormat="1" ht="32" x14ac:dyDescent="0.4">
      <c r="K1" s="12" t="s">
        <v>210</v>
      </c>
    </row>
    <row r="2" spans="1:11" s="11" customFormat="1" ht="32" x14ac:dyDescent="0.4">
      <c r="K2" s="12"/>
    </row>
    <row r="3" spans="1:11" s="11" customFormat="1" ht="33" thickBot="1" x14ac:dyDescent="0.45">
      <c r="K3" s="12"/>
    </row>
    <row r="4" spans="1:11" ht="29" x14ac:dyDescent="0.35">
      <c r="A4" s="9"/>
      <c r="B4" s="13" t="s">
        <v>192</v>
      </c>
      <c r="C4" s="9"/>
      <c r="D4" s="13" t="s">
        <v>194</v>
      </c>
      <c r="E4" s="9"/>
      <c r="F4" s="13" t="s">
        <v>195</v>
      </c>
      <c r="G4" s="9"/>
      <c r="H4" s="13" t="s">
        <v>196</v>
      </c>
    </row>
    <row r="5" spans="1:11" s="10" customFormat="1" ht="28" thickBot="1" x14ac:dyDescent="0.4">
      <c r="B5" s="14">
        <f>Analysis!A2</f>
        <v>350288.70999999996</v>
      </c>
      <c r="D5" s="14">
        <f>Analysis!B2</f>
        <v>92</v>
      </c>
      <c r="F5" s="14">
        <f>Analysis!C2</f>
        <v>350288.70999999996</v>
      </c>
      <c r="H5" s="14">
        <f>Analysis!D2</f>
        <v>3807.4859782608692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Cleaned_Data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 G</dc:creator>
  <cp:lastModifiedBy>Akshatha G</cp:lastModifiedBy>
  <dcterms:created xsi:type="dcterms:W3CDTF">2026-03-02T14:23:35Z</dcterms:created>
  <dcterms:modified xsi:type="dcterms:W3CDTF">2026-03-11T07:42:25Z</dcterms:modified>
</cp:coreProperties>
</file>